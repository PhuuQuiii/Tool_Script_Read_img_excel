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4"/>
    <sheet name="Sheet5" sheetId="2" state="visible" r:id="rId5"/>
    <sheet name="Sheet2" sheetId="3" state="visible" r:id="rId6"/>
    <sheet name="Sheet3" sheetId="4" state="visible" r:id="rId7"/>
    <sheet name="Sheet6" sheetId="5" state="visible" r:id="rId8"/>
  </sheets>
  <definedNames>
    <definedName name="_xlnm._FilterDatabase" localSheetId="2" hidden="1">Sheet2!$A$1:$H$44</definedName>
    <definedName name="_xlnm._FilterDatabase" localSheetId="2" hidden="1">Sheet2!$A$1:$H$44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<sst xmlns="http://schemas.openxmlformats.org/spreadsheetml/2006/main" count="129" uniqueCount="129">
  <si>
    <t xml:space="preserve">PO. NO</t>
  </si>
  <si>
    <t xml:space="preserve">GR DATE</t>
  </si>
  <si>
    <t>SCOPE</t>
  </si>
  <si>
    <t xml:space="preserve">VENDOR NAME</t>
  </si>
  <si>
    <t xml:space="preserve">) </t>
  </si>
  <si>
    <t xml:space="preserve"> GRD </t>
  </si>
  <si>
    <t xml:space="preserve"> (</t>
  </si>
  <si>
    <t xml:space="preserve"> - </t>
  </si>
  <si>
    <t>)</t>
  </si>
  <si>
    <t xml:space="preserve">Customer purchase order number</t>
  </si>
  <si>
    <t xml:space="preserve">COS Status</t>
  </si>
  <si>
    <t>EDD</t>
  </si>
  <si>
    <t>DATE</t>
  </si>
  <si>
    <t>BVN5000807/PX0262325</t>
  </si>
  <si>
    <t xml:space="preserve">23 Oct: VSR - "</t>
  </si>
  <si>
    <t xml:space="preserve">12. Repair in progress</t>
  </si>
  <si>
    <t xml:space="preserve"> </t>
  </si>
  <si>
    <t>"</t>
  </si>
  <si>
    <t>BVN5001090/PR0396325</t>
  </si>
  <si>
    <t xml:space="preserve">10. Pending quote approval</t>
  </si>
  <si>
    <t>BVN5001558/PR0432325</t>
  </si>
  <si>
    <t>BVN5001660/PX0328525</t>
  </si>
  <si>
    <t>BVN5001917/PX0348225</t>
  </si>
  <si>
    <t>BVN5001919/PR0493925</t>
  </si>
  <si>
    <t>BVN5001921/PX0349325</t>
  </si>
  <si>
    <t xml:space="preserve">14. Awaiting replacement unit</t>
  </si>
  <si>
    <t>BVN5001951/PR0515825</t>
  </si>
  <si>
    <t>BVN5001958/PR0513125</t>
  </si>
  <si>
    <t>BVN5001977/PR0507625</t>
  </si>
  <si>
    <t>BVN5002001/PR0513025</t>
  </si>
  <si>
    <t>BVN5002002/PR0513225</t>
  </si>
  <si>
    <t>BVN5002015/PX0358425</t>
  </si>
  <si>
    <t>BVN5002019/PX0358825</t>
  </si>
  <si>
    <t>BVN5002024/PR0500325</t>
  </si>
  <si>
    <t>BVN5002075/PR0523925</t>
  </si>
  <si>
    <t xml:space="preserve">06. Pending warranty review</t>
  </si>
  <si>
    <t>BVN5002084/PX0357825</t>
  </si>
  <si>
    <t>BVN5002091/PX0363025</t>
  </si>
  <si>
    <t>BVN5002098/PX0362825</t>
  </si>
  <si>
    <t>BVN5002112/PX0362925</t>
  </si>
  <si>
    <t>BVN5002120/PX0366825</t>
  </si>
  <si>
    <t xml:space="preserve">02. Inspection in progress</t>
  </si>
  <si>
    <t>BVN5002121/PX0367025</t>
  </si>
  <si>
    <t>BVN5002149/PX0371725</t>
  </si>
  <si>
    <t>BVN5002167/PR0540125</t>
  </si>
  <si>
    <t>BVN5002177/PX0372625</t>
  </si>
  <si>
    <t>BVN5002179/PX0373025</t>
  </si>
  <si>
    <t>BVN5002191/PX0372525</t>
  </si>
  <si>
    <t>BVN5002193/PX0372825</t>
  </si>
  <si>
    <t>BVN5002194/PR0525325</t>
  </si>
  <si>
    <t>BVN5002196/PR0534525</t>
  </si>
  <si>
    <t>BVN5002200/PX0377825</t>
  </si>
  <si>
    <t>X</t>
  </si>
  <si>
    <t xml:space="preserve">1 Oct: VSR - "</t>
  </si>
  <si>
    <t xml:space="preserve"> EDD - </t>
  </si>
  <si>
    <t xml:space="preserve">21 Aug: VSR - "</t>
  </si>
  <si>
    <t>NO</t>
  </si>
  <si>
    <t>CRO</t>
  </si>
  <si>
    <t xml:space="preserve">CRO 53688</t>
  </si>
  <si>
    <t xml:space="preserve">LIEBHERR-SINGAPORE PTE LTD</t>
  </si>
  <si>
    <t xml:space="preserve">ORDER ID</t>
  </si>
  <si>
    <t xml:space="preserve">PART DESC</t>
  </si>
  <si>
    <t xml:space="preserve">CRO 53689</t>
  </si>
  <si>
    <t xml:space="preserve">CRO 54146</t>
  </si>
  <si>
    <t>TRANSPONDER</t>
  </si>
  <si>
    <t xml:space="preserve">ROCKWELL COLLINS SOUTHEAST ASIA PTE LTD</t>
  </si>
  <si>
    <t xml:space="preserve">CRO 54251</t>
  </si>
  <si>
    <t>CVR</t>
  </si>
  <si>
    <t xml:space="preserve">L3 HARRIS AVIATION PRODUCTS, INC.</t>
  </si>
  <si>
    <t xml:space="preserve">CRO 54523 </t>
  </si>
  <si>
    <t xml:space="preserve">BEIJING OU TUO TECHNOLOGY CO., LTD</t>
  </si>
  <si>
    <t xml:space="preserve">CRO 53694</t>
  </si>
  <si>
    <t xml:space="preserve">CRO 54147</t>
  </si>
  <si>
    <t xml:space="preserve">CRO 54252</t>
  </si>
  <si>
    <t>SERVO</t>
  </si>
  <si>
    <t xml:space="preserve">GOODRICH TAECO AERONAUTICAL SYSTEMS (XIAMEN) CO LTD</t>
  </si>
  <si>
    <t xml:space="preserve">CRO 54524</t>
  </si>
  <si>
    <t xml:space="preserve">AVIOTEK INSTRUMENTS &amp; ACCESSORIES, INC.</t>
  </si>
  <si>
    <t xml:space="preserve">CRO 53695</t>
  </si>
  <si>
    <t xml:space="preserve">WUHAN HANGDA AERO SCIENCE AND TECHNOLOGY DEVELOPMENT CO. LTD</t>
  </si>
  <si>
    <t xml:space="preserve">CRO 54148</t>
  </si>
  <si>
    <t>TCAS</t>
  </si>
  <si>
    <t xml:space="preserve">HONEYWELL INTERNATIONAL SDN BHD C/O HONEYWELL AEROSPACE AVIONICS MALAYSIA SDN. BHD. - PENANG</t>
  </si>
  <si>
    <t xml:space="preserve">CRO 54253</t>
  </si>
  <si>
    <t xml:space="preserve">CRO 54526</t>
  </si>
  <si>
    <t xml:space="preserve">CRO 53696</t>
  </si>
  <si>
    <t xml:space="preserve">CRO 54149</t>
  </si>
  <si>
    <t xml:space="preserve">TX W.RADAR</t>
  </si>
  <si>
    <t xml:space="preserve">CRO 54529</t>
  </si>
  <si>
    <t xml:space="preserve">CRO 53697</t>
  </si>
  <si>
    <t xml:space="preserve">MEGGITT </t>
  </si>
  <si>
    <t xml:space="preserve">CRO 54150</t>
  </si>
  <si>
    <t xml:space="preserve">LOGO LIGHT</t>
  </si>
  <si>
    <t xml:space="preserve">HAMILTON SUNDSTRAND</t>
  </si>
  <si>
    <t xml:space="preserve">CRO 54562</t>
  </si>
  <si>
    <t xml:space="preserve">CRO 53698</t>
  </si>
  <si>
    <t xml:space="preserve">CRO 54155</t>
  </si>
  <si>
    <t>RMP</t>
  </si>
  <si>
    <t xml:space="preserve">THALES SOLUTIONS ASIA PTE LTD</t>
  </si>
  <si>
    <t xml:space="preserve">CRO 54563</t>
  </si>
  <si>
    <t xml:space="preserve">CRO 53699</t>
  </si>
  <si>
    <t>LIEBHERR</t>
  </si>
  <si>
    <t xml:space="preserve">CRO 54156</t>
  </si>
  <si>
    <t>IPRAM</t>
  </si>
  <si>
    <t xml:space="preserve">CRO 54664</t>
  </si>
  <si>
    <t xml:space="preserve">CRO 53700</t>
  </si>
  <si>
    <t xml:space="preserve">CRO 53701</t>
  </si>
  <si>
    <t xml:space="preserve">CRO 53702</t>
  </si>
  <si>
    <t xml:space="preserve">CRO 53716</t>
  </si>
  <si>
    <t>BJQ4007561</t>
  </si>
  <si>
    <t>BJQ4008165</t>
  </si>
  <si>
    <t xml:space="preserve">JAX ALR SEND DOCS -&gt; pending erica reply </t>
  </si>
  <si>
    <t xml:space="preserve">check cap </t>
  </si>
  <si>
    <t xml:space="preserve">410870 - SUMMIT AEROSPACE</t>
  </si>
  <si>
    <t>x</t>
  </si>
  <si>
    <t xml:space="preserve">401213 - BOEING COMMERCIAL</t>
  </si>
  <si>
    <t xml:space="preserve">ting kai alr reply </t>
  </si>
  <si>
    <t xml:space="preserve">have cap </t>
  </si>
  <si>
    <t xml:space="preserve">Pending TAT/ cost details. </t>
  </si>
  <si>
    <t xml:space="preserve">408892 - AVBORNE ACCESSORY GROUP, INC  DBA AERSALE COMPONENT SOLUTIONS</t>
  </si>
  <si>
    <t xml:space="preserve">HAVE CAP IS WAITING FOR MOD </t>
  </si>
  <si>
    <t xml:space="preserve">BJQ4007682 </t>
  </si>
  <si>
    <r>
      <t xml:space="preserve">Please take note of this unit, PO BJQ4007682 will RAI from Hangda and reroute to </t>
    </r>
    <r>
      <rPr>
        <sz val="11"/>
        <color rgb="FF0070C0"/>
        <rFont val="Aptos"/>
      </rPr>
      <t xml:space="preserve">Interior </t>
    </r>
    <r>
      <rPr>
        <sz val="11"/>
        <color theme="1"/>
        <rFont val="Aptos"/>
      </rPr>
      <t xml:space="preserve">for repair.</t>
    </r>
  </si>
  <si>
    <t>BJL4001306</t>
  </si>
  <si>
    <t xml:space="preserve">RMB RAIIIII </t>
  </si>
  <si>
    <t>BJQ4008496</t>
  </si>
  <si>
    <t xml:space="preserve">pfr tsd </t>
  </si>
  <si>
    <t>BJQ4008499</t>
  </si>
  <si>
    <t xml:space="preserve">EUA Request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</si>
</sst>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0.000000"/>
      <color theme="1"/>
      <name val="Arial"/>
    </font>
    <font>
      <sz val="8.000000"/>
      <name val="Calibri"/>
    </font>
    <font>
      <sz val="11.000000"/>
      <name val="Calibri"/>
      <scheme val="minor"/>
    </font>
    <font>
      <b/>
      <sz val="11.000000"/>
      <color indexed="2"/>
      <name val="Calibri"/>
    </font>
    <font>
      <sz val="11.000000"/>
      <color theme="1"/>
      <name val="APTOS"/>
    </font>
    <font>
      <b/>
      <sz val="11.000000"/>
      <color indexed="65"/>
      <name val="Calibri"/>
      <scheme val="minor"/>
    </font>
    <font>
      <b/>
      <sz val="11.000000"/>
      <color theme="1"/>
      <name val="Aptos"/>
    </font>
    <font>
      <sz val="6.000000"/>
      <color theme="1"/>
      <name val="Calibri"/>
      <scheme val="minor"/>
    </font>
    <font>
      <b/>
      <sz val="11.000000"/>
      <color indexed="64"/>
      <name val="Aptos"/>
    </font>
    <font>
      <sz val="6.000000"/>
      <color indexed="2"/>
      <name val="Calibri"/>
      <scheme val="minor"/>
    </font>
    <font>
      <sz val="6.000000"/>
      <color indexed="64"/>
      <name val="Arial"/>
    </font>
    <font>
      <sz val="11.000000"/>
      <color theme="1"/>
      <name val="Times New Roman"/>
    </font>
    <font>
      <sz val="11.000000"/>
      <color theme="1"/>
      <name val="Aptos"/>
    </font>
    <font>
      <sz val="11.000000"/>
      <color indexed="2"/>
      <name val="Times New Roman"/>
    </font>
    <font>
      <sz val="11.000000"/>
      <color indexed="2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theme="7" tint="0.79998168889431442"/>
      </patternFill>
    </fill>
    <fill>
      <patternFill patternType="solid">
        <fgColor rgb="FFD3D3D3"/>
      </patternFill>
    </fill>
    <fill>
      <patternFill patternType="solid">
        <fgColor indexed="64"/>
      </patternFill>
    </fill>
    <fill>
      <patternFill patternType="solid">
        <fgColor theme="2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5">
    <xf fontId="0" fillId="0" borderId="0" numFmtId="0" xfId="0"/>
    <xf fontId="0" fillId="0" borderId="0" numFmtId="0" xfId="0" applyAlignment="1">
      <alignment horizontal="left"/>
    </xf>
    <xf fontId="1" fillId="2" borderId="0" numFmtId="0" xfId="0" applyFont="1" applyFill="1" applyAlignment="1">
      <alignment horizontal="left"/>
    </xf>
    <xf fontId="1" fillId="2" borderId="0" numFmtId="14" xfId="0" applyNumberFormat="1" applyFont="1" applyFill="1" applyAlignment="1">
      <alignment horizontal="left"/>
    </xf>
    <xf fontId="0" fillId="2" borderId="0" numFmtId="14" xfId="0" applyNumberFormat="1" applyFill="1" applyAlignment="1">
      <alignment horizontal="left"/>
    </xf>
    <xf fontId="0" fillId="2" borderId="0" numFmtId="0" xfId="0" applyFill="1" applyAlignment="1">
      <alignment horizontal="left"/>
    </xf>
    <xf fontId="0" fillId="3" borderId="0" numFmtId="0" xfId="0" applyFill="1"/>
    <xf fontId="0" fillId="4" borderId="0" numFmtId="0" xfId="0" applyFill="1"/>
    <xf fontId="0" fillId="2" borderId="0" numFmtId="0" xfId="0" applyFill="1"/>
    <xf fontId="0" fillId="3" borderId="0" numFmtId="49" xfId="0" applyNumberFormat="1" applyFill="1"/>
    <xf fontId="2" fillId="3" borderId="1" numFmtId="0" xfId="0" applyFont="1" applyFill="1" applyBorder="1" applyAlignment="1">
      <alignment horizontal="left"/>
    </xf>
    <xf fontId="0" fillId="5" borderId="1" numFmtId="0" xfId="0" applyFill="1" applyBorder="1"/>
    <xf fontId="2" fillId="2" borderId="1" numFmtId="0" xfId="0" applyFont="1" applyFill="1" applyBorder="1" applyAlignment="1">
      <alignment horizontal="left"/>
    </xf>
    <xf fontId="2" fillId="4" borderId="1" numFmtId="0" xfId="0" applyFont="1" applyFill="1" applyBorder="1" applyAlignment="1">
      <alignment horizontal="left"/>
    </xf>
    <xf fontId="2" fillId="3" borderId="1" numFmtId="49" xfId="0" applyNumberFormat="1" applyFont="1" applyFill="1" applyBorder="1" applyAlignment="1">
      <alignment horizontal="left"/>
    </xf>
    <xf fontId="0" fillId="3" borderId="1" numFmtId="0" xfId="0" applyFill="1" applyBorder="1" applyAlignment="1">
      <alignment horizontal="left"/>
    </xf>
    <xf fontId="0" fillId="4" borderId="1" numFmtId="0" xfId="0" applyFill="1" applyBorder="1"/>
    <xf fontId="0" fillId="0" borderId="1" numFmtId="0" xfId="0" applyBorder="1"/>
    <xf fontId="0" fillId="2" borderId="1" numFmtId="0" xfId="0" applyFill="1" applyBorder="1" applyAlignment="1">
      <alignment horizontal="left"/>
    </xf>
    <xf fontId="3" fillId="2" borderId="0" numFmtId="0" xfId="0" applyFont="1" applyFill="1"/>
    <xf fontId="0" fillId="2" borderId="2" numFmtId="0" xfId="0" applyFill="1" applyBorder="1"/>
    <xf fontId="4" fillId="2" borderId="0" numFmtId="0" xfId="0" applyFont="1" applyFill="1"/>
    <xf fontId="5" fillId="0" borderId="1" numFmtId="0" xfId="0" applyFont="1" applyBorder="1"/>
    <xf fontId="4" fillId="3" borderId="0" numFmtId="0" xfId="0" applyFont="1" applyFill="1" applyAlignment="1">
      <alignment horizontal="left"/>
    </xf>
    <xf fontId="0" fillId="3" borderId="0" numFmtId="0" xfId="0" applyFill="1" applyAlignment="1">
      <alignment horizontal="left"/>
    </xf>
    <xf fontId="6" fillId="0" borderId="1" numFmtId="14" xfId="0" applyNumberFormat="1" applyFont="1" applyBorder="1" applyAlignment="1">
      <alignment horizontal="center" vertical="center"/>
    </xf>
    <xf fontId="7" fillId="6" borderId="3" numFmtId="0" xfId="0" applyFont="1" applyFill="1" applyBorder="1" applyAlignment="1">
      <alignment vertical="center" wrapText="1"/>
    </xf>
    <xf fontId="7" fillId="6" borderId="4" numFmtId="0" xfId="0" applyFont="1" applyFill="1" applyBorder="1" applyAlignment="1">
      <alignment vertical="center" wrapText="1"/>
    </xf>
    <xf fontId="1" fillId="0" borderId="5" numFmtId="0" xfId="0" applyFont="1" applyBorder="1" applyAlignment="1">
      <alignment vertical="center" wrapText="1"/>
    </xf>
    <xf fontId="8" fillId="0" borderId="6" numFmtId="0" xfId="0" applyFont="1" applyBorder="1" applyAlignment="1">
      <alignment vertical="center" wrapText="1"/>
    </xf>
    <xf fontId="9" fillId="0" borderId="0" numFmtId="0" xfId="0" applyFont="1" applyAlignment="1">
      <alignment vertical="center"/>
    </xf>
    <xf fontId="10" fillId="2" borderId="6" numFmtId="0" xfId="0" applyFont="1" applyFill="1" applyBorder="1" applyAlignment="1">
      <alignment vertical="center" wrapText="1"/>
    </xf>
    <xf fontId="8" fillId="0" borderId="6" numFmtId="0" xfId="0" applyFont="1" applyBorder="1" applyAlignment="1">
      <alignment horizontal="center" vertical="center" wrapText="1"/>
    </xf>
    <xf fontId="11" fillId="0" borderId="0" numFmtId="0" xfId="0" applyFont="1" applyAlignment="1">
      <alignment vertical="center"/>
    </xf>
    <xf fontId="12" fillId="0" borderId="0" numFmtId="0" xfId="0" applyFont="1"/>
    <xf fontId="0" fillId="0" borderId="0" numFmtId="0" xfId="0" applyAlignment="1">
      <alignment vertical="center" wrapText="1"/>
    </xf>
    <xf fontId="0" fillId="7" borderId="0" numFmtId="0" xfId="0" applyFill="1"/>
    <xf fontId="0" fillId="7" borderId="0" numFmtId="0" xfId="0" applyFill="1" applyAlignment="1">
      <alignment vertical="center" wrapText="1"/>
    </xf>
    <xf fontId="13" fillId="7" borderId="0" numFmtId="0" xfId="0" applyFont="1" applyFill="1" applyAlignment="1">
      <alignment vertical="center"/>
    </xf>
    <xf fontId="14" fillId="7" borderId="0" numFmtId="0" xfId="0" applyFont="1" applyFill="1" applyAlignment="1">
      <alignment vertical="center"/>
    </xf>
    <xf fontId="15" fillId="7" borderId="0" numFmtId="0" xfId="0" applyFont="1" applyFill="1" applyAlignment="1">
      <alignment vertical="center"/>
    </xf>
    <xf fontId="16" fillId="7" borderId="0" numFmtId="0" xfId="0" applyFont="1" applyFill="1"/>
    <xf fontId="0" fillId="7" borderId="0" numFmtId="0" xfId="0" applyFill="1" applyAlignment="1">
      <alignment wrapText="1"/>
    </xf>
    <xf fontId="14" fillId="0" borderId="0" numFmtId="0" xfId="0" applyFont="1"/>
    <xf fontId="14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worksheet" Target="worksheets/sheet3.xml"/><Relationship  Id="rId7" Type="http://schemas.openxmlformats.org/officeDocument/2006/relationships/worksheet" Target="worksheets/sheet4.xml"/><Relationship  Id="rId8" Type="http://schemas.openxmlformats.org/officeDocument/2006/relationships/worksheet" Target="worksheets/sheet5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:A5"/>
    </sheetView>
  </sheetViews>
  <sheetFormatPr defaultRowHeight="14.5"/>
  <cols>
    <col customWidth="1" min="1" max="1" width="94.1796875"/>
    <col bestFit="1" customWidth="1" min="2" max="2" width="3"/>
    <col bestFit="1" customWidth="1" min="3" max="3" width="2.1796875"/>
    <col bestFit="1" customWidth="1" min="4" max="4" width="13.54296875"/>
    <col bestFit="1" customWidth="1" min="5" max="5" width="5.1796875"/>
    <col bestFit="1" customWidth="1" min="6" max="6" width="10.81640625"/>
    <col bestFit="1" customWidth="1" min="7" max="7" width="2.1796875"/>
    <col bestFit="1" customWidth="1" min="8" max="8" width="9.81640625"/>
    <col bestFit="1" customWidth="1" min="9" max="9" width="2.54296875"/>
    <col customWidth="1" min="10" max="10" width="18.1796875"/>
    <col bestFit="1" customWidth="1" min="11" max="11" width="1.81640625"/>
  </cols>
  <sheetData>
    <row r="1">
      <c r="B1" s="1"/>
      <c r="C1" s="1"/>
      <c r="D1" s="1" t="s">
        <v>0</v>
      </c>
      <c r="E1" s="1"/>
      <c r="F1" s="1" t="s">
        <v>1</v>
      </c>
      <c r="G1" s="1"/>
      <c r="H1" s="1" t="s">
        <v>2</v>
      </c>
      <c r="I1" s="1"/>
      <c r="J1" s="1" t="s">
        <v>3</v>
      </c>
      <c r="K1" s="1"/>
    </row>
    <row r="2">
      <c r="A2" t="str">
        <f t="shared" ref="A2:A16" si="0">_xlfn.TEXTJOIN("",1,B2:E2,TEXT(F2,"dd/mm/yyyy"),G2:K2)</f>
        <v xml:space="preserve">1)  GRD 00/01/1900 ( - )</v>
      </c>
      <c r="B2" s="1">
        <v>1</v>
      </c>
      <c r="C2" s="1" t="s">
        <v>4</v>
      </c>
      <c r="D2" s="2"/>
      <c r="E2" s="1" t="s">
        <v>5</v>
      </c>
      <c r="F2" s="3"/>
      <c r="G2" s="1" t="s">
        <v>6</v>
      </c>
      <c r="H2" s="4"/>
      <c r="I2" s="1" t="s">
        <v>7</v>
      </c>
      <c r="J2" s="5"/>
      <c r="K2" s="1" t="s">
        <v>8</v>
      </c>
    </row>
    <row r="3">
      <c r="A3" t="str">
        <f t="shared" si="0"/>
        <v xml:space="preserve">2)  GRD 00/01/1900 ( - )</v>
      </c>
      <c r="B3" s="1">
        <v>2</v>
      </c>
      <c r="C3" s="1" t="s">
        <v>4</v>
      </c>
      <c r="D3" s="5"/>
      <c r="E3" s="1" t="s">
        <v>5</v>
      </c>
      <c r="F3" s="4"/>
      <c r="G3" s="1" t="s">
        <v>6</v>
      </c>
      <c r="H3" s="4"/>
      <c r="I3" s="1" t="s">
        <v>7</v>
      </c>
      <c r="J3" s="5"/>
      <c r="K3" s="1" t="s">
        <v>8</v>
      </c>
    </row>
    <row r="4">
      <c r="A4" t="str">
        <f t="shared" si="0"/>
        <v xml:space="preserve">3)  GRD 00/01/1900 ( - )</v>
      </c>
      <c r="B4" s="1">
        <v>3</v>
      </c>
      <c r="C4" s="1" t="s">
        <v>4</v>
      </c>
      <c r="D4" s="5"/>
      <c r="E4" s="1" t="s">
        <v>5</v>
      </c>
      <c r="F4" s="4"/>
      <c r="G4" s="1" t="s">
        <v>6</v>
      </c>
      <c r="H4" s="4"/>
      <c r="I4" s="1" t="s">
        <v>7</v>
      </c>
      <c r="J4" s="5"/>
      <c r="K4" s="1" t="s">
        <v>8</v>
      </c>
    </row>
    <row r="5">
      <c r="A5" t="str">
        <f t="shared" si="0"/>
        <v xml:space="preserve">4)  GRD 00/01/1900 ( - )</v>
      </c>
      <c r="B5" s="1">
        <v>4</v>
      </c>
      <c r="C5" s="1" t="s">
        <v>4</v>
      </c>
      <c r="D5" s="2"/>
      <c r="E5" s="1" t="s">
        <v>5</v>
      </c>
      <c r="F5" s="4"/>
      <c r="G5" s="1" t="s">
        <v>6</v>
      </c>
      <c r="H5" s="4"/>
      <c r="I5" s="1" t="s">
        <v>7</v>
      </c>
      <c r="J5" s="5"/>
      <c r="K5" s="1" t="s">
        <v>8</v>
      </c>
    </row>
    <row r="6">
      <c r="A6" t="str">
        <f t="shared" si="0"/>
        <v xml:space="preserve">5)  GRD 00/01/1900 ( - )</v>
      </c>
      <c r="B6" s="1">
        <v>5</v>
      </c>
      <c r="C6" s="1" t="s">
        <v>4</v>
      </c>
      <c r="D6" s="5"/>
      <c r="E6" s="1" t="s">
        <v>5</v>
      </c>
      <c r="F6" s="4"/>
      <c r="G6" s="1" t="s">
        <v>6</v>
      </c>
      <c r="H6" s="4"/>
      <c r="I6" s="1" t="s">
        <v>7</v>
      </c>
      <c r="J6" s="5"/>
      <c r="K6" s="1" t="s">
        <v>8</v>
      </c>
    </row>
    <row r="7">
      <c r="A7" t="str">
        <f t="shared" si="0"/>
        <v xml:space="preserve">6)  GRD 00/01/1900 ( - )</v>
      </c>
      <c r="B7" s="1">
        <v>6</v>
      </c>
      <c r="C7" s="1" t="s">
        <v>4</v>
      </c>
      <c r="D7" s="5"/>
      <c r="E7" s="1" t="s">
        <v>5</v>
      </c>
      <c r="F7" s="4"/>
      <c r="G7" s="1" t="s">
        <v>6</v>
      </c>
      <c r="H7" s="4"/>
      <c r="I7" s="1" t="s">
        <v>7</v>
      </c>
      <c r="J7" s="5"/>
      <c r="K7" s="1" t="s">
        <v>8</v>
      </c>
    </row>
    <row r="8">
      <c r="A8" t="str">
        <f t="shared" si="0"/>
        <v xml:space="preserve">7)  GRD 00/01/1900 ( - )</v>
      </c>
      <c r="B8" s="1">
        <v>7</v>
      </c>
      <c r="C8" s="1" t="s">
        <v>4</v>
      </c>
      <c r="D8" s="5"/>
      <c r="E8" s="1" t="s">
        <v>5</v>
      </c>
      <c r="F8" s="4"/>
      <c r="G8" s="1" t="s">
        <v>6</v>
      </c>
      <c r="H8" s="4"/>
      <c r="I8" s="1" t="s">
        <v>7</v>
      </c>
      <c r="J8" s="5"/>
      <c r="K8" s="1" t="s">
        <v>8</v>
      </c>
    </row>
    <row r="9">
      <c r="A9" t="str">
        <f t="shared" si="0"/>
        <v xml:space="preserve">8)  GRD 00/01/1900 ( - )</v>
      </c>
      <c r="B9" s="1">
        <v>8</v>
      </c>
      <c r="C9" s="1" t="s">
        <v>4</v>
      </c>
      <c r="D9" s="5"/>
      <c r="E9" s="1" t="s">
        <v>5</v>
      </c>
      <c r="F9" s="4"/>
      <c r="G9" s="1" t="s">
        <v>6</v>
      </c>
      <c r="H9" s="5"/>
      <c r="I9" s="1" t="s">
        <v>7</v>
      </c>
      <c r="J9" s="5"/>
      <c r="K9" s="1" t="s">
        <v>8</v>
      </c>
    </row>
    <row r="10">
      <c r="A10" t="str">
        <f t="shared" si="0"/>
        <v xml:space="preserve">9)  GRD 00/01/1900 ( - )</v>
      </c>
      <c r="B10" s="1">
        <v>9</v>
      </c>
      <c r="C10" s="1" t="s">
        <v>4</v>
      </c>
      <c r="D10" s="5"/>
      <c r="E10" s="1" t="s">
        <v>5</v>
      </c>
      <c r="F10" s="4"/>
      <c r="G10" s="1" t="s">
        <v>6</v>
      </c>
      <c r="H10" s="5"/>
      <c r="I10" s="1" t="s">
        <v>7</v>
      </c>
      <c r="J10" s="5"/>
      <c r="K10" s="1" t="s">
        <v>8</v>
      </c>
    </row>
    <row r="11">
      <c r="A11" t="str">
        <f t="shared" si="0"/>
        <v xml:space="preserve">10)  GRD 00/01/1900 ( - )</v>
      </c>
      <c r="B11" s="1">
        <v>10</v>
      </c>
      <c r="C11" s="1" t="s">
        <v>4</v>
      </c>
      <c r="D11" s="5"/>
      <c r="E11" s="1" t="s">
        <v>5</v>
      </c>
      <c r="F11" s="4"/>
      <c r="G11" s="1" t="s">
        <v>6</v>
      </c>
      <c r="H11" s="5"/>
      <c r="I11" s="1" t="s">
        <v>7</v>
      </c>
      <c r="J11" s="5"/>
      <c r="K11" s="1" t="s">
        <v>8</v>
      </c>
    </row>
    <row r="12">
      <c r="A12" t="str">
        <f t="shared" si="0"/>
        <v xml:space="preserve">11)  GRD 00/01/1900 ( - )</v>
      </c>
      <c r="B12" s="1">
        <v>11</v>
      </c>
      <c r="C12" s="1" t="s">
        <v>4</v>
      </c>
      <c r="D12" s="5"/>
      <c r="E12" s="1" t="s">
        <v>5</v>
      </c>
      <c r="F12" s="4"/>
      <c r="G12" s="1" t="s">
        <v>6</v>
      </c>
      <c r="H12" s="5"/>
      <c r="I12" s="1" t="s">
        <v>7</v>
      </c>
      <c r="J12" s="5"/>
      <c r="K12" s="1" t="s">
        <v>8</v>
      </c>
    </row>
    <row r="13">
      <c r="A13" t="str">
        <f t="shared" si="0"/>
        <v xml:space="preserve">12)  GRD 00/01/1900 ( - )</v>
      </c>
      <c r="B13" s="1">
        <v>12</v>
      </c>
      <c r="C13" s="1" t="s">
        <v>4</v>
      </c>
      <c r="D13" s="5"/>
      <c r="E13" s="1" t="s">
        <v>5</v>
      </c>
      <c r="F13" s="4"/>
      <c r="G13" s="1" t="s">
        <v>6</v>
      </c>
      <c r="H13" s="5"/>
      <c r="I13" s="1" t="s">
        <v>7</v>
      </c>
      <c r="J13" s="5"/>
      <c r="K13" s="1" t="s">
        <v>8</v>
      </c>
    </row>
    <row r="14">
      <c r="A14" t="str">
        <f t="shared" si="0"/>
        <v xml:space="preserve">13)  GRD 00/01/1900 ( - )</v>
      </c>
      <c r="B14" s="1">
        <v>13</v>
      </c>
      <c r="C14" s="1" t="s">
        <v>4</v>
      </c>
      <c r="D14" s="5"/>
      <c r="E14" s="1" t="s">
        <v>5</v>
      </c>
      <c r="F14" s="4"/>
      <c r="G14" s="1" t="s">
        <v>6</v>
      </c>
      <c r="H14" s="5"/>
      <c r="I14" s="1" t="s">
        <v>7</v>
      </c>
      <c r="J14" s="5"/>
      <c r="K14" s="1" t="s">
        <v>8</v>
      </c>
    </row>
    <row r="15">
      <c r="A15" t="str">
        <f t="shared" si="0"/>
        <v xml:space="preserve">14)  GRD 00/01/1900 ( - )</v>
      </c>
      <c r="B15" s="1">
        <v>14</v>
      </c>
      <c r="C15" s="1" t="s">
        <v>4</v>
      </c>
      <c r="D15" s="5"/>
      <c r="E15" s="1" t="s">
        <v>5</v>
      </c>
      <c r="F15" s="4"/>
      <c r="G15" s="1" t="s">
        <v>6</v>
      </c>
      <c r="H15" s="5"/>
      <c r="I15" s="1" t="s">
        <v>7</v>
      </c>
      <c r="J15" s="5"/>
      <c r="K15" s="1" t="s">
        <v>8</v>
      </c>
    </row>
    <row r="16">
      <c r="A16" t="str">
        <f t="shared" si="0"/>
        <v xml:space="preserve">15)  GRD 00/01/1900 ( - )</v>
      </c>
      <c r="B16" s="1">
        <v>15</v>
      </c>
      <c r="C16" s="1" t="s">
        <v>4</v>
      </c>
      <c r="D16" s="5"/>
      <c r="E16" s="1" t="s">
        <v>5</v>
      </c>
      <c r="F16" s="4"/>
      <c r="G16" s="1" t="s">
        <v>6</v>
      </c>
      <c r="H16" s="5"/>
      <c r="I16" s="1" t="s">
        <v>7</v>
      </c>
      <c r="J16" s="5"/>
      <c r="K16" s="1" t="s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23" activeCellId="0" sqref="A23"/>
    </sheetView>
  </sheetViews>
  <sheetFormatPr defaultRowHeight="14.5"/>
  <cols>
    <col bestFit="1" customWidth="1" min="1" max="1" style="6" width="95.1796875"/>
    <col bestFit="1" customWidth="1" min="2" max="2" style="7" width="30.54296875"/>
    <col bestFit="1" customWidth="1" min="3" max="3" style="8" width="13"/>
    <col bestFit="1" customWidth="1" min="4" max="4" style="7" width="89.54296875"/>
    <col bestFit="1" customWidth="1" min="5" max="5" style="6" width="6.81640625"/>
    <col bestFit="1" customWidth="1" min="6" max="6" style="9" width="22.08984375"/>
    <col customWidth="1" min="7" max="7" style="6" width="14.7265625"/>
  </cols>
  <sheetData>
    <row r="1">
      <c r="A1" s="10"/>
      <c r="B1" s="11" t="s">
        <v>9</v>
      </c>
      <c r="C1" s="12"/>
      <c r="D1" s="13" t="s">
        <v>10</v>
      </c>
      <c r="E1" s="10" t="s">
        <v>11</v>
      </c>
      <c r="F1" s="14" t="s">
        <v>12</v>
      </c>
      <c r="G1" s="10"/>
    </row>
    <row r="2" s="8" customFormat="1">
      <c r="A2" s="15" t="str">
        <f t="shared" ref="A2:A33" si="1">_xlfn.TEXTJOIN("",1,C2:E2,TEXT(F2,"dd/mm/yyyy"),G2)</f>
        <v xml:space="preserve">23 Oct: VSR - "12. Repair in progress "</v>
      </c>
      <c r="B2" s="16" t="s">
        <v>13</v>
      </c>
      <c r="C2" s="15" t="s">
        <v>14</v>
      </c>
      <c r="D2" s="17" t="s">
        <v>15</v>
      </c>
      <c r="E2" s="18"/>
      <c r="F2" s="19" t="s">
        <v>16</v>
      </c>
      <c r="G2" s="18" t="s">
        <v>17</v>
      </c>
      <c r="H2" s="20"/>
    </row>
    <row r="3" s="21" customFormat="1">
      <c r="A3" s="15" t="str">
        <f t="shared" si="1"/>
        <v xml:space="preserve">23 Oct: VSR - "10. Pending quote approval "</v>
      </c>
      <c r="B3" s="16" t="s">
        <v>18</v>
      </c>
      <c r="C3" s="15" t="s">
        <v>14</v>
      </c>
      <c r="D3" s="22" t="s">
        <v>19</v>
      </c>
      <c r="E3" s="18"/>
      <c r="F3" s="19" t="s">
        <v>16</v>
      </c>
      <c r="G3" s="18" t="s">
        <v>17</v>
      </c>
      <c r="H3" s="20"/>
    </row>
    <row r="4" s="8" customFormat="1">
      <c r="A4" s="15" t="str">
        <f t="shared" si="1"/>
        <v xml:space="preserve">23 Oct: VSR - "10. Pending quote approval "</v>
      </c>
      <c r="B4" s="16" t="s">
        <v>20</v>
      </c>
      <c r="C4" s="15" t="s">
        <v>14</v>
      </c>
      <c r="D4" s="22" t="s">
        <v>19</v>
      </c>
      <c r="E4" s="18"/>
      <c r="F4" s="19" t="s">
        <v>16</v>
      </c>
      <c r="G4" s="18" t="s">
        <v>17</v>
      </c>
    </row>
    <row r="5" s="8" customFormat="1">
      <c r="A5" s="15" t="str">
        <f t="shared" si="1"/>
        <v xml:space="preserve">23 Oct: VSR - "12. Repair in progress "</v>
      </c>
      <c r="B5" s="16" t="s">
        <v>21</v>
      </c>
      <c r="C5" s="15" t="s">
        <v>14</v>
      </c>
      <c r="D5" s="17" t="s">
        <v>15</v>
      </c>
      <c r="E5" s="18"/>
      <c r="F5" s="19" t="s">
        <v>16</v>
      </c>
      <c r="G5" s="18" t="s">
        <v>17</v>
      </c>
    </row>
    <row r="6" s="8" customFormat="1">
      <c r="A6" s="15" t="str">
        <f t="shared" si="1"/>
        <v xml:space="preserve">23 Oct: VSR - "10. Pending quote approval "</v>
      </c>
      <c r="B6" s="16" t="s">
        <v>22</v>
      </c>
      <c r="C6" s="15" t="s">
        <v>14</v>
      </c>
      <c r="D6" s="22" t="s">
        <v>19</v>
      </c>
      <c r="E6" s="18"/>
      <c r="F6" s="19" t="s">
        <v>16</v>
      </c>
      <c r="G6" s="18" t="s">
        <v>17</v>
      </c>
    </row>
    <row r="7" s="8" customFormat="1">
      <c r="A7" s="15" t="str">
        <f t="shared" si="1"/>
        <v xml:space="preserve">23 Oct: VSR - "12. Repair in progress "</v>
      </c>
      <c r="B7" s="16" t="s">
        <v>23</v>
      </c>
      <c r="C7" s="15" t="s">
        <v>14</v>
      </c>
      <c r="D7" s="17" t="s">
        <v>15</v>
      </c>
      <c r="E7" s="18"/>
      <c r="F7" s="19" t="s">
        <v>16</v>
      </c>
      <c r="G7" s="18" t="s">
        <v>17</v>
      </c>
    </row>
    <row r="8" s="8" customFormat="1">
      <c r="A8" s="15" t="str">
        <f t="shared" si="1"/>
        <v xml:space="preserve">23 Oct: VSR - "14. Awaiting replacement unit "</v>
      </c>
      <c r="B8" s="16" t="s">
        <v>24</v>
      </c>
      <c r="C8" s="15" t="s">
        <v>14</v>
      </c>
      <c r="D8" s="17" t="s">
        <v>25</v>
      </c>
      <c r="E8" s="18"/>
      <c r="F8" s="19" t="s">
        <v>16</v>
      </c>
      <c r="G8" s="18" t="s">
        <v>17</v>
      </c>
    </row>
    <row r="9" s="8" customFormat="1">
      <c r="A9" s="15" t="str">
        <f t="shared" si="1"/>
        <v xml:space="preserve">23 Oct: VSR - "14. Awaiting replacement unit "</v>
      </c>
      <c r="B9" s="16" t="s">
        <v>26</v>
      </c>
      <c r="C9" s="15" t="s">
        <v>14</v>
      </c>
      <c r="D9" s="17" t="s">
        <v>25</v>
      </c>
      <c r="E9" s="18"/>
      <c r="F9" s="19" t="s">
        <v>16</v>
      </c>
      <c r="G9" s="18" t="s">
        <v>17</v>
      </c>
    </row>
    <row r="10" s="8" customFormat="1">
      <c r="A10" s="15" t="str">
        <f t="shared" si="1"/>
        <v xml:space="preserve">23 Oct: VSR - "12. Repair in progress "</v>
      </c>
      <c r="B10" s="16" t="s">
        <v>27</v>
      </c>
      <c r="C10" s="15" t="s">
        <v>14</v>
      </c>
      <c r="D10" s="17" t="s">
        <v>15</v>
      </c>
      <c r="E10" s="18"/>
      <c r="F10" s="19" t="s">
        <v>16</v>
      </c>
      <c r="G10" s="18" t="s">
        <v>17</v>
      </c>
    </row>
    <row r="11" s="8" customFormat="1">
      <c r="A11" s="15" t="str">
        <f t="shared" si="1"/>
        <v xml:space="preserve">23 Oct: VSR - "14. Awaiting replacement unit "</v>
      </c>
      <c r="B11" s="16" t="s">
        <v>28</v>
      </c>
      <c r="C11" s="15" t="s">
        <v>14</v>
      </c>
      <c r="D11" s="17" t="s">
        <v>25</v>
      </c>
      <c r="E11" s="18"/>
      <c r="F11" s="19" t="s">
        <v>16</v>
      </c>
      <c r="G11" s="18" t="s">
        <v>17</v>
      </c>
    </row>
    <row r="12" s="8" customFormat="1">
      <c r="A12" s="15" t="str">
        <f t="shared" si="1"/>
        <v xml:space="preserve">23 Oct: VSR - "12. Repair in progress "</v>
      </c>
      <c r="B12" s="16" t="s">
        <v>29</v>
      </c>
      <c r="C12" s="15" t="s">
        <v>14</v>
      </c>
      <c r="D12" s="17" t="s">
        <v>15</v>
      </c>
      <c r="E12" s="18"/>
      <c r="F12" s="19" t="s">
        <v>16</v>
      </c>
      <c r="G12" s="18" t="s">
        <v>17</v>
      </c>
    </row>
    <row r="13" s="8" customFormat="1">
      <c r="A13" s="15" t="str">
        <f t="shared" si="1"/>
        <v xml:space="preserve">23 Oct: VSR - "12. Repair in progress "</v>
      </c>
      <c r="B13" s="16" t="s">
        <v>30</v>
      </c>
      <c r="C13" s="15" t="s">
        <v>14</v>
      </c>
      <c r="D13" s="17" t="s">
        <v>15</v>
      </c>
      <c r="E13" s="18"/>
      <c r="F13" s="19" t="s">
        <v>16</v>
      </c>
      <c r="G13" s="18" t="s">
        <v>17</v>
      </c>
    </row>
    <row r="14" s="8" customFormat="1">
      <c r="A14" s="15" t="str">
        <f t="shared" si="1"/>
        <v xml:space="preserve">23 Oct: VSR - "12. Repair in progress "</v>
      </c>
      <c r="B14" s="16" t="s">
        <v>31</v>
      </c>
      <c r="C14" s="15" t="s">
        <v>14</v>
      </c>
      <c r="D14" s="17" t="s">
        <v>15</v>
      </c>
      <c r="E14" s="18"/>
      <c r="F14" s="19" t="s">
        <v>16</v>
      </c>
      <c r="G14" s="18" t="s">
        <v>17</v>
      </c>
    </row>
    <row r="15" s="8" customFormat="1">
      <c r="A15" s="15" t="str">
        <f t="shared" si="1"/>
        <v xml:space="preserve">23 Oct: VSR - "10. Pending quote approval "</v>
      </c>
      <c r="B15" s="16" t="s">
        <v>32</v>
      </c>
      <c r="C15" s="15" t="s">
        <v>14</v>
      </c>
      <c r="D15" s="22" t="s">
        <v>19</v>
      </c>
      <c r="E15" s="18"/>
      <c r="F15" s="19" t="s">
        <v>16</v>
      </c>
      <c r="G15" s="18" t="s">
        <v>17</v>
      </c>
    </row>
    <row r="16" s="6" customFormat="1">
      <c r="A16" s="15" t="str">
        <f t="shared" si="1"/>
        <v xml:space="preserve">23 Oct: VSR - "12. Repair in progress "</v>
      </c>
      <c r="B16" s="16" t="s">
        <v>33</v>
      </c>
      <c r="C16" s="15" t="s">
        <v>14</v>
      </c>
      <c r="D16" s="17" t="s">
        <v>15</v>
      </c>
      <c r="E16" s="18"/>
      <c r="F16" s="19" t="s">
        <v>16</v>
      </c>
      <c r="G16" s="15" t="s">
        <v>17</v>
      </c>
    </row>
    <row r="17" s="6" customFormat="1">
      <c r="A17" s="15" t="str">
        <f t="shared" si="1"/>
        <v xml:space="preserve">23 Oct: VSR - "06. Pending warranty review "</v>
      </c>
      <c r="B17" s="17" t="s">
        <v>34</v>
      </c>
      <c r="C17" s="15" t="s">
        <v>14</v>
      </c>
      <c r="D17" s="17" t="s">
        <v>35</v>
      </c>
      <c r="E17" s="18"/>
      <c r="F17" s="19" t="s">
        <v>16</v>
      </c>
      <c r="G17" s="15" t="s">
        <v>17</v>
      </c>
    </row>
    <row r="18" s="6" customFormat="1">
      <c r="A18" s="15" t="str">
        <f t="shared" si="1"/>
        <v xml:space="preserve">23 Oct: VSR - "12. Repair in progress "</v>
      </c>
      <c r="B18" s="17" t="s">
        <v>36</v>
      </c>
      <c r="C18" s="15" t="s">
        <v>14</v>
      </c>
      <c r="D18" s="17" t="s">
        <v>15</v>
      </c>
      <c r="E18" s="18"/>
      <c r="F18" s="19" t="s">
        <v>16</v>
      </c>
      <c r="G18" s="15" t="s">
        <v>17</v>
      </c>
    </row>
    <row r="19" s="6" customFormat="1">
      <c r="A19" s="15" t="str">
        <f t="shared" si="1"/>
        <v xml:space="preserve">23 Oct: VSR - "10. Pending quote approval "</v>
      </c>
      <c r="B19" s="17" t="s">
        <v>37</v>
      </c>
      <c r="C19" s="15" t="s">
        <v>14</v>
      </c>
      <c r="D19" s="22" t="s">
        <v>19</v>
      </c>
      <c r="E19" s="18"/>
      <c r="F19" s="19" t="s">
        <v>16</v>
      </c>
      <c r="G19" s="15" t="s">
        <v>17</v>
      </c>
    </row>
    <row r="20" s="6" customFormat="1">
      <c r="A20" s="15" t="str">
        <f t="shared" si="1"/>
        <v xml:space="preserve">23 Oct: VSR - "12. Repair in progress "</v>
      </c>
      <c r="B20" s="17" t="s">
        <v>38</v>
      </c>
      <c r="C20" s="15" t="s">
        <v>14</v>
      </c>
      <c r="D20" s="17" t="s">
        <v>15</v>
      </c>
      <c r="E20" s="18"/>
      <c r="F20" s="19" t="s">
        <v>16</v>
      </c>
      <c r="G20" s="15" t="s">
        <v>17</v>
      </c>
    </row>
    <row r="21" s="6" customFormat="1">
      <c r="A21" s="15" t="str">
        <f t="shared" si="1"/>
        <v xml:space="preserve">23 Oct: VSR - " "</v>
      </c>
      <c r="B21" s="17" t="s">
        <v>39</v>
      </c>
      <c r="C21" s="15" t="s">
        <v>14</v>
      </c>
      <c r="D21" s="17"/>
      <c r="E21" s="18"/>
      <c r="F21" s="19" t="s">
        <v>16</v>
      </c>
      <c r="G21" s="15" t="s">
        <v>17</v>
      </c>
    </row>
    <row r="22" s="6" customFormat="1">
      <c r="A22" s="15" t="str">
        <f t="shared" si="1"/>
        <v xml:space="preserve">23 Oct: VSR - "02. Inspection in progress "</v>
      </c>
      <c r="B22" s="17" t="s">
        <v>40</v>
      </c>
      <c r="C22" s="15" t="s">
        <v>14</v>
      </c>
      <c r="D22" s="17" t="s">
        <v>41</v>
      </c>
      <c r="E22" s="18"/>
      <c r="F22" s="19" t="s">
        <v>16</v>
      </c>
      <c r="G22" s="15" t="s">
        <v>17</v>
      </c>
    </row>
    <row r="23" s="6" customFormat="1">
      <c r="A23" s="15" t="str">
        <f t="shared" si="1"/>
        <v xml:space="preserve">23 Oct: VSR - "10. Pending quote approval "</v>
      </c>
      <c r="B23" s="17" t="s">
        <v>42</v>
      </c>
      <c r="C23" s="15" t="s">
        <v>14</v>
      </c>
      <c r="D23" s="22" t="s">
        <v>19</v>
      </c>
      <c r="E23" s="18"/>
      <c r="F23" s="19" t="s">
        <v>16</v>
      </c>
      <c r="G23" s="15" t="s">
        <v>17</v>
      </c>
    </row>
    <row r="24" s="6" customFormat="1">
      <c r="A24" s="15" t="str">
        <f t="shared" si="1"/>
        <v xml:space="preserve">23 Oct: VSR - " "</v>
      </c>
      <c r="B24" s="17" t="s">
        <v>43</v>
      </c>
      <c r="C24" s="15" t="s">
        <v>14</v>
      </c>
      <c r="D24" s="17"/>
      <c r="E24" s="18"/>
      <c r="F24" s="19" t="s">
        <v>16</v>
      </c>
      <c r="G24" s="15" t="s">
        <v>17</v>
      </c>
    </row>
    <row r="25" s="6" customFormat="1">
      <c r="A25" s="15" t="str">
        <f t="shared" si="1"/>
        <v xml:space="preserve">23 Oct: VSR - " "</v>
      </c>
      <c r="B25" s="17" t="s">
        <v>44</v>
      </c>
      <c r="C25" s="15" t="s">
        <v>14</v>
      </c>
      <c r="D25" s="17"/>
      <c r="E25" s="18"/>
      <c r="F25" s="19" t="s">
        <v>16</v>
      </c>
      <c r="G25" s="15" t="s">
        <v>17</v>
      </c>
    </row>
    <row r="26" s="6" customFormat="1">
      <c r="A26" s="15" t="str">
        <f t="shared" si="1"/>
        <v xml:space="preserve">23 Oct: VSR - " "</v>
      </c>
      <c r="B26" s="17" t="s">
        <v>45</v>
      </c>
      <c r="C26" s="15" t="s">
        <v>14</v>
      </c>
      <c r="D26" s="17"/>
      <c r="E26" s="18"/>
      <c r="F26" s="19" t="s">
        <v>16</v>
      </c>
      <c r="G26" s="15" t="s">
        <v>17</v>
      </c>
    </row>
    <row r="27" s="6" customFormat="1">
      <c r="A27" s="15" t="str">
        <f t="shared" si="1"/>
        <v xml:space="preserve">23 Oct: VSR - " "</v>
      </c>
      <c r="B27" s="17" t="s">
        <v>46</v>
      </c>
      <c r="C27" s="15" t="s">
        <v>14</v>
      </c>
      <c r="D27" s="17"/>
      <c r="E27" s="18"/>
      <c r="F27" s="19" t="s">
        <v>16</v>
      </c>
      <c r="G27" s="15" t="s">
        <v>17</v>
      </c>
    </row>
    <row r="28" s="6" customFormat="1">
      <c r="A28" s="15" t="str">
        <f t="shared" si="1"/>
        <v xml:space="preserve">23 Oct: VSR - " "</v>
      </c>
      <c r="B28" s="17" t="s">
        <v>47</v>
      </c>
      <c r="C28" s="15" t="s">
        <v>14</v>
      </c>
      <c r="D28" s="17"/>
      <c r="E28" s="18"/>
      <c r="F28" s="19" t="s">
        <v>16</v>
      </c>
      <c r="G28" s="15" t="s">
        <v>17</v>
      </c>
    </row>
    <row r="29" s="6" customFormat="1">
      <c r="A29" s="15" t="str">
        <f t="shared" si="1"/>
        <v xml:space="preserve">23 Oct: VSR - " "</v>
      </c>
      <c r="B29" s="17" t="s">
        <v>48</v>
      </c>
      <c r="C29" s="15" t="s">
        <v>14</v>
      </c>
      <c r="D29" s="17"/>
      <c r="E29" s="18"/>
      <c r="F29" s="19" t="s">
        <v>16</v>
      </c>
      <c r="G29" s="15" t="s">
        <v>17</v>
      </c>
    </row>
    <row r="30" s="6" customFormat="1">
      <c r="A30" s="15" t="str">
        <f t="shared" si="1"/>
        <v xml:space="preserve">23 Oct: VSR - " "</v>
      </c>
      <c r="B30" s="17" t="s">
        <v>49</v>
      </c>
      <c r="C30" s="15" t="s">
        <v>14</v>
      </c>
      <c r="D30" s="17"/>
      <c r="E30" s="18"/>
      <c r="F30" s="19" t="s">
        <v>16</v>
      </c>
      <c r="G30" s="15" t="s">
        <v>17</v>
      </c>
    </row>
    <row r="31" s="6" customFormat="1">
      <c r="A31" s="15" t="str">
        <f t="shared" si="1"/>
        <v xml:space="preserve">23 Oct: VSR - " "</v>
      </c>
      <c r="B31" s="17" t="s">
        <v>50</v>
      </c>
      <c r="C31" s="15" t="s">
        <v>14</v>
      </c>
      <c r="D31" s="17"/>
      <c r="E31" s="18"/>
      <c r="F31" s="19" t="s">
        <v>16</v>
      </c>
      <c r="G31" s="15" t="s">
        <v>17</v>
      </c>
    </row>
    <row r="32" s="6" customFormat="1">
      <c r="A32" s="15" t="str">
        <f t="shared" si="1"/>
        <v xml:space="preserve">23 Oct: VSR - " "</v>
      </c>
      <c r="B32" s="17" t="s">
        <v>51</v>
      </c>
      <c r="C32" s="15" t="s">
        <v>14</v>
      </c>
      <c r="D32" s="17"/>
      <c r="E32" s="18"/>
      <c r="F32" s="19" t="s">
        <v>16</v>
      </c>
      <c r="G32" s="15" t="s">
        <v>17</v>
      </c>
    </row>
    <row r="33" s="6" customFormat="1">
      <c r="A33" s="15" t="str">
        <f t="shared" si="1"/>
        <v xml:space="preserve">23 Oct: VSR - " "</v>
      </c>
      <c r="B33" s="17"/>
      <c r="C33" s="15" t="s">
        <v>14</v>
      </c>
      <c r="D33"/>
      <c r="E33" s="18"/>
      <c r="F33" s="19" t="s">
        <v>16</v>
      </c>
      <c r="G33" s="15" t="s">
        <v>17</v>
      </c>
    </row>
    <row r="34" s="6" customFormat="1">
      <c r="A34" s="15" t="str">
        <f t="shared" ref="A34:A97" si="2">_xlfn.TEXTJOIN("",1,C34:E34,TEXT(F34,"dd/mm/yyyy"),G34)</f>
        <v xml:space="preserve">23 Oct: VSR - " "</v>
      </c>
      <c r="B34" s="17"/>
      <c r="C34" s="15" t="s">
        <v>14</v>
      </c>
      <c r="D34"/>
      <c r="E34" s="18"/>
      <c r="F34" s="19" t="s">
        <v>16</v>
      </c>
      <c r="G34" s="15" t="s">
        <v>17</v>
      </c>
    </row>
    <row r="35" s="6" customFormat="1">
      <c r="A35" s="15" t="str">
        <f t="shared" si="2"/>
        <v xml:space="preserve">23 Oct: VSR - " "</v>
      </c>
      <c r="B35" s="17"/>
      <c r="C35" s="15" t="s">
        <v>14</v>
      </c>
      <c r="D35"/>
      <c r="E35" s="18"/>
      <c r="F35" s="19" t="s">
        <v>16</v>
      </c>
      <c r="G35" s="15" t="s">
        <v>17</v>
      </c>
    </row>
    <row r="36" s="6" customFormat="1">
      <c r="A36" s="15" t="str">
        <f t="shared" si="2"/>
        <v xml:space="preserve">23 Oct: VSR - " "</v>
      </c>
      <c r="B36" s="17"/>
      <c r="C36" s="15" t="s">
        <v>14</v>
      </c>
      <c r="D36"/>
      <c r="E36" s="18"/>
      <c r="F36" s="19" t="s">
        <v>16</v>
      </c>
      <c r="G36" s="15" t="s">
        <v>17</v>
      </c>
    </row>
    <row r="37" s="6" customFormat="1">
      <c r="A37" s="15" t="str">
        <f t="shared" si="2"/>
        <v xml:space="preserve">23 Oct: VSR - " "</v>
      </c>
      <c r="B37" s="17"/>
      <c r="C37" s="15" t="s">
        <v>14</v>
      </c>
      <c r="D37"/>
      <c r="E37" s="18"/>
      <c r="F37" s="19" t="s">
        <v>16</v>
      </c>
      <c r="G37" s="15" t="s">
        <v>17</v>
      </c>
    </row>
    <row r="38" s="6" customFormat="1">
      <c r="A38" s="15" t="str">
        <f t="shared" si="2"/>
        <v xml:space="preserve">23 Oct: VSR - " "</v>
      </c>
      <c r="B38" s="17"/>
      <c r="C38" s="15" t="s">
        <v>14</v>
      </c>
      <c r="D38"/>
      <c r="E38" s="18"/>
      <c r="F38" s="19" t="s">
        <v>16</v>
      </c>
      <c r="G38" s="15" t="s">
        <v>17</v>
      </c>
    </row>
    <row r="39" s="6" customFormat="1">
      <c r="A39" s="15" t="str">
        <f t="shared" si="2"/>
        <v xml:space="preserve">23 Oct: VSR - " "</v>
      </c>
      <c r="B39" s="17"/>
      <c r="C39" s="15" t="s">
        <v>14</v>
      </c>
      <c r="D39"/>
      <c r="E39" s="18"/>
      <c r="F39" s="19" t="s">
        <v>16</v>
      </c>
      <c r="G39" s="15" t="s">
        <v>17</v>
      </c>
    </row>
    <row r="40" s="6" customFormat="1">
      <c r="A40" s="15" t="str">
        <f t="shared" si="2"/>
        <v xml:space="preserve">23 Oct: VSR - " "</v>
      </c>
      <c r="B40" s="17"/>
      <c r="C40" s="15" t="s">
        <v>14</v>
      </c>
      <c r="D40"/>
      <c r="E40" s="18"/>
      <c r="F40" s="19" t="s">
        <v>16</v>
      </c>
      <c r="G40" s="15" t="s">
        <v>17</v>
      </c>
      <c r="H40" s="6" t="s">
        <v>52</v>
      </c>
    </row>
    <row r="41" s="6" customFormat="1">
      <c r="A41" s="15" t="str">
        <f t="shared" si="2"/>
        <v xml:space="preserve">23 Oct: VSR - " "</v>
      </c>
      <c r="B41" s="17"/>
      <c r="C41" s="15" t="s">
        <v>14</v>
      </c>
      <c r="D41"/>
      <c r="E41" s="18"/>
      <c r="F41" s="19" t="s">
        <v>16</v>
      </c>
      <c r="G41" s="15" t="s">
        <v>17</v>
      </c>
      <c r="H41" s="6" t="s">
        <v>52</v>
      </c>
    </row>
    <row r="42" s="6" customFormat="1">
      <c r="A42" s="15" t="str">
        <f t="shared" si="2"/>
        <v xml:space="preserve">23 Oct: VSR - " "</v>
      </c>
      <c r="B42" s="17"/>
      <c r="C42" s="15" t="s">
        <v>14</v>
      </c>
      <c r="D42"/>
      <c r="E42" s="18"/>
      <c r="F42" s="19" t="s">
        <v>16</v>
      </c>
      <c r="G42" s="15" t="s">
        <v>17</v>
      </c>
    </row>
    <row r="43" s="6" customFormat="1">
      <c r="A43" s="15" t="str">
        <f t="shared" si="2"/>
        <v xml:space="preserve">23 Oct: VSR - " "</v>
      </c>
      <c r="B43" s="17"/>
      <c r="C43" s="15" t="s">
        <v>14</v>
      </c>
      <c r="D43"/>
      <c r="E43" s="18"/>
      <c r="F43" s="19" t="s">
        <v>16</v>
      </c>
      <c r="G43" s="15" t="s">
        <v>17</v>
      </c>
      <c r="H43" s="6" t="s">
        <v>52</v>
      </c>
    </row>
    <row r="44" s="6" customFormat="1">
      <c r="A44" s="15" t="str">
        <f t="shared" si="2"/>
        <v xml:space="preserve">23 Oct: VSR - " "</v>
      </c>
      <c r="B44" s="17"/>
      <c r="C44" s="15" t="s">
        <v>14</v>
      </c>
      <c r="D44"/>
      <c r="E44" s="18"/>
      <c r="F44" s="19" t="s">
        <v>16</v>
      </c>
      <c r="G44" s="15" t="s">
        <v>17</v>
      </c>
    </row>
    <row r="45" s="6" customFormat="1">
      <c r="A45" s="15" t="str">
        <f t="shared" si="2"/>
        <v xml:space="preserve">23 Oct: VSR - " "</v>
      </c>
      <c r="B45" s="17"/>
      <c r="C45" s="15" t="s">
        <v>14</v>
      </c>
      <c r="D45"/>
      <c r="E45" s="18"/>
      <c r="F45" s="19" t="s">
        <v>16</v>
      </c>
      <c r="G45" s="15" t="s">
        <v>17</v>
      </c>
      <c r="H45" s="6" t="s">
        <v>52</v>
      </c>
    </row>
    <row r="46" s="6" customFormat="1">
      <c r="A46" s="15" t="str">
        <f t="shared" si="2"/>
        <v xml:space="preserve">23 Oct: VSR - " "</v>
      </c>
      <c r="B46" s="17"/>
      <c r="C46" s="15" t="s">
        <v>14</v>
      </c>
      <c r="D46"/>
      <c r="E46" s="18"/>
      <c r="F46" s="19" t="s">
        <v>16</v>
      </c>
      <c r="G46" s="15" t="s">
        <v>17</v>
      </c>
    </row>
    <row r="47" s="6" customFormat="1">
      <c r="A47" s="15" t="str">
        <f t="shared" si="2"/>
        <v xml:space="preserve">23 Oct: VSR - " "</v>
      </c>
      <c r="B47" s="17"/>
      <c r="C47" s="15" t="s">
        <v>14</v>
      </c>
      <c r="D47"/>
      <c r="E47" s="18"/>
      <c r="F47" s="19" t="s">
        <v>16</v>
      </c>
      <c r="G47" s="15" t="s">
        <v>17</v>
      </c>
    </row>
    <row r="48" s="6" customFormat="1">
      <c r="A48" s="15" t="str">
        <f t="shared" si="2"/>
        <v xml:space="preserve">23 Oct: VSR - " "</v>
      </c>
      <c r="B48" s="17"/>
      <c r="C48" s="15" t="s">
        <v>14</v>
      </c>
      <c r="D48"/>
      <c r="E48" s="18"/>
      <c r="F48" s="19" t="s">
        <v>16</v>
      </c>
      <c r="G48" s="15" t="s">
        <v>17</v>
      </c>
      <c r="H48" s="6" t="s">
        <v>52</v>
      </c>
    </row>
    <row r="49" s="6" customFormat="1">
      <c r="A49" s="15" t="str">
        <f t="shared" si="2"/>
        <v xml:space="preserve">23 Oct: VSR - " "</v>
      </c>
      <c r="B49" s="17"/>
      <c r="C49" s="15" t="s">
        <v>14</v>
      </c>
      <c r="D49"/>
      <c r="E49" s="18"/>
      <c r="F49" s="19" t="s">
        <v>16</v>
      </c>
      <c r="G49" s="15" t="s">
        <v>17</v>
      </c>
      <c r="H49" s="6" t="s">
        <v>52</v>
      </c>
    </row>
    <row r="50" s="6" customFormat="1">
      <c r="A50" s="15" t="str">
        <f t="shared" si="2"/>
        <v xml:space="preserve">23 Oct: VSR - " "</v>
      </c>
      <c r="B50" s="17"/>
      <c r="C50" s="15" t="s">
        <v>14</v>
      </c>
      <c r="D50"/>
      <c r="E50" s="18"/>
      <c r="F50" s="19" t="s">
        <v>16</v>
      </c>
      <c r="G50" s="15" t="s">
        <v>17</v>
      </c>
    </row>
    <row r="51" s="6" customFormat="1">
      <c r="A51" s="15" t="str">
        <f t="shared" si="2"/>
        <v xml:space="preserve">23 Oct: VSR - " "</v>
      </c>
      <c r="B51" s="17"/>
      <c r="C51" s="15" t="s">
        <v>14</v>
      </c>
      <c r="D51"/>
      <c r="E51" s="18"/>
      <c r="F51" s="19" t="s">
        <v>16</v>
      </c>
      <c r="G51" s="15" t="s">
        <v>17</v>
      </c>
      <c r="H51" s="23"/>
    </row>
    <row r="52" s="6" customFormat="1">
      <c r="A52" s="15" t="str">
        <f t="shared" si="2"/>
        <v xml:space="preserve">23 Oct: VSR - " "</v>
      </c>
      <c r="B52" s="17"/>
      <c r="C52" s="15" t="s">
        <v>14</v>
      </c>
      <c r="D52"/>
      <c r="E52" s="18"/>
      <c r="F52" s="19" t="s">
        <v>16</v>
      </c>
      <c r="G52" s="15" t="s">
        <v>17</v>
      </c>
    </row>
    <row r="53" s="6" customFormat="1">
      <c r="A53" s="15" t="str">
        <f t="shared" si="2"/>
        <v xml:space="preserve">23 Oct: VSR - " "</v>
      </c>
      <c r="B53" s="17"/>
      <c r="C53" s="15" t="s">
        <v>14</v>
      </c>
      <c r="D53"/>
      <c r="E53" s="18"/>
      <c r="F53" s="19" t="s">
        <v>16</v>
      </c>
      <c r="G53" s="15" t="s">
        <v>17</v>
      </c>
    </row>
    <row r="54" s="6" customFormat="1">
      <c r="A54" s="15" t="str">
        <f t="shared" si="2"/>
        <v xml:space="preserve">23 Oct: VSR - " "</v>
      </c>
      <c r="B54" s="17"/>
      <c r="C54" s="15" t="s">
        <v>14</v>
      </c>
      <c r="D54"/>
      <c r="E54" s="18"/>
      <c r="F54" s="19" t="s">
        <v>16</v>
      </c>
      <c r="G54" s="15" t="s">
        <v>17</v>
      </c>
    </row>
    <row r="55" s="6" customFormat="1">
      <c r="A55" s="15" t="str">
        <f t="shared" si="2"/>
        <v xml:space="preserve">23 Oct: VSR - " "</v>
      </c>
      <c r="B55" s="17"/>
      <c r="C55" s="15" t="s">
        <v>14</v>
      </c>
      <c r="D55"/>
      <c r="E55" s="18"/>
      <c r="F55" s="19" t="s">
        <v>16</v>
      </c>
      <c r="G55" s="15" t="s">
        <v>17</v>
      </c>
      <c r="H55" s="24"/>
    </row>
    <row r="56" s="6" customFormat="1">
      <c r="A56" s="15" t="str">
        <f t="shared" si="2"/>
        <v xml:space="preserve">23 Oct: VSR - " "</v>
      </c>
      <c r="B56" s="17"/>
      <c r="C56" s="15" t="s">
        <v>14</v>
      </c>
      <c r="D56"/>
      <c r="E56" s="18"/>
      <c r="F56" s="19" t="s">
        <v>16</v>
      </c>
      <c r="G56" s="15" t="s">
        <v>17</v>
      </c>
    </row>
    <row r="57" s="6" customFormat="1">
      <c r="A57" s="15" t="str">
        <f t="shared" si="2"/>
        <v xml:space="preserve">23 Oct: VSR - " "</v>
      </c>
      <c r="B57" s="17"/>
      <c r="C57" s="15" t="s">
        <v>14</v>
      </c>
      <c r="D57"/>
      <c r="E57" s="18"/>
      <c r="F57" s="19" t="s">
        <v>16</v>
      </c>
      <c r="G57" s="15" t="s">
        <v>17</v>
      </c>
    </row>
    <row r="58" s="6" customFormat="1">
      <c r="A58" s="15" t="str">
        <f t="shared" si="2"/>
        <v xml:space="preserve">23 Oct: VSR - " "</v>
      </c>
      <c r="B58" s="17"/>
      <c r="C58" s="15" t="s">
        <v>14</v>
      </c>
      <c r="D58"/>
      <c r="E58" s="18"/>
      <c r="F58" s="19" t="s">
        <v>16</v>
      </c>
      <c r="G58" s="15" t="s">
        <v>17</v>
      </c>
    </row>
    <row r="59" s="6" customFormat="1">
      <c r="A59" s="15" t="str">
        <f t="shared" si="2"/>
        <v xml:space="preserve">23 Oct: VSR - " "</v>
      </c>
      <c r="B59" s="17"/>
      <c r="C59" s="15" t="s">
        <v>14</v>
      </c>
      <c r="D59"/>
      <c r="E59" s="18"/>
      <c r="F59" s="19" t="s">
        <v>16</v>
      </c>
      <c r="G59" s="15" t="s">
        <v>17</v>
      </c>
    </row>
    <row r="60" s="6" customFormat="1">
      <c r="A60" s="15" t="str">
        <f t="shared" si="2"/>
        <v xml:space="preserve">23 Oct: VSR - " "</v>
      </c>
      <c r="B60" s="17"/>
      <c r="C60" s="15" t="s">
        <v>14</v>
      </c>
      <c r="D60"/>
      <c r="E60" s="18"/>
      <c r="F60" s="19" t="s">
        <v>16</v>
      </c>
      <c r="G60" s="15" t="s">
        <v>17</v>
      </c>
    </row>
    <row r="61" s="6" customFormat="1">
      <c r="A61" s="15" t="str">
        <f t="shared" si="2"/>
        <v xml:space="preserve">23 Oct: VSR - " "</v>
      </c>
      <c r="B61" s="17"/>
      <c r="C61" s="15" t="s">
        <v>14</v>
      </c>
      <c r="D61"/>
      <c r="E61" s="18"/>
      <c r="F61" s="19" t="s">
        <v>16</v>
      </c>
      <c r="G61" s="15" t="s">
        <v>17</v>
      </c>
    </row>
    <row r="62" s="6" customFormat="1">
      <c r="A62" s="15" t="str">
        <f t="shared" si="2"/>
        <v xml:space="preserve">23 Oct: VSR - " "</v>
      </c>
      <c r="B62" s="17"/>
      <c r="C62" s="15" t="s">
        <v>14</v>
      </c>
      <c r="D62"/>
      <c r="E62" s="18"/>
      <c r="F62" s="25" t="s">
        <v>16</v>
      </c>
      <c r="G62" s="15" t="s">
        <v>17</v>
      </c>
    </row>
    <row r="63">
      <c r="A63" s="15" t="str">
        <f t="shared" si="2"/>
        <v xml:space="preserve">23 Oct: VSR - " </v>
      </c>
      <c r="B63" s="17"/>
      <c r="C63" s="15" t="s">
        <v>14</v>
      </c>
      <c r="D63"/>
      <c r="E63" s="18"/>
      <c r="F63" s="25" t="s">
        <v>16</v>
      </c>
      <c r="G63" s="15"/>
    </row>
    <row r="64">
      <c r="A64" s="15" t="str">
        <f t="shared" si="2"/>
        <v xml:space="preserve">1 Oct: VSR - " </v>
      </c>
      <c r="B64" s="17"/>
      <c r="C64" s="15" t="s">
        <v>53</v>
      </c>
      <c r="D64"/>
      <c r="E64" s="18"/>
      <c r="F64" s="25" t="s">
        <v>16</v>
      </c>
      <c r="G64" s="15"/>
    </row>
    <row r="65">
      <c r="A65" s="15" t="str">
        <f t="shared" si="2"/>
        <v xml:space="preserve">1 Oct: VSR - " </v>
      </c>
      <c r="B65" s="17"/>
      <c r="C65" s="15" t="s">
        <v>53</v>
      </c>
      <c r="D65" s="22"/>
      <c r="E65" s="18"/>
      <c r="F65" s="25" t="s">
        <v>16</v>
      </c>
      <c r="G65" s="15"/>
    </row>
    <row r="66">
      <c r="A66" s="15" t="str">
        <f t="shared" si="2"/>
        <v xml:space="preserve">1 Oct: VSR - " </v>
      </c>
      <c r="B66" s="17"/>
      <c r="C66" s="15" t="s">
        <v>53</v>
      </c>
      <c r="D66" s="17"/>
      <c r="E66" s="18"/>
      <c r="F66" s="25" t="s">
        <v>16</v>
      </c>
      <c r="G66" s="15"/>
    </row>
    <row r="67">
      <c r="A67" s="15" t="str">
        <f t="shared" si="2"/>
        <v xml:space="preserve">1 Oct: VSR - " </v>
      </c>
      <c r="B67" s="17"/>
      <c r="C67" s="15" t="s">
        <v>53</v>
      </c>
      <c r="D67" s="17"/>
      <c r="E67" s="18"/>
      <c r="F67" s="25" t="s">
        <v>16</v>
      </c>
      <c r="G67" s="15"/>
    </row>
    <row r="68">
      <c r="A68" s="15" t="str">
        <f t="shared" si="2"/>
        <v xml:space="preserve">1 Oct: VSR - " </v>
      </c>
      <c r="B68" s="17"/>
      <c r="C68" s="15" t="s">
        <v>53</v>
      </c>
      <c r="D68" s="17"/>
      <c r="E68" s="18"/>
      <c r="F68" s="25" t="s">
        <v>16</v>
      </c>
      <c r="G68" s="15"/>
    </row>
    <row r="69">
      <c r="A69" s="15" t="str">
        <f t="shared" si="2"/>
        <v xml:space="preserve">1 Oct: VSR - " </v>
      </c>
      <c r="B69" s="17"/>
      <c r="C69" s="15" t="s">
        <v>53</v>
      </c>
      <c r="D69" s="17"/>
      <c r="E69" s="18"/>
      <c r="F69" s="25" t="s">
        <v>16</v>
      </c>
      <c r="G69" s="15"/>
    </row>
    <row r="70">
      <c r="A70" s="15" t="str">
        <f t="shared" si="2"/>
        <v xml:space="preserve">1 Oct: VSR - " </v>
      </c>
      <c r="B70" s="17"/>
      <c r="C70" s="15" t="s">
        <v>53</v>
      </c>
      <c r="D70" s="17"/>
      <c r="E70" s="18"/>
      <c r="F70" s="25" t="s">
        <v>16</v>
      </c>
      <c r="G70" s="15"/>
    </row>
    <row r="71">
      <c r="A71" s="15" t="str">
        <f t="shared" si="2"/>
        <v xml:space="preserve">1 Oct: VSR - " EDD -  </v>
      </c>
      <c r="B71" s="17"/>
      <c r="C71" s="15" t="s">
        <v>53</v>
      </c>
      <c r="D71" s="17"/>
      <c r="E71" s="15" t="s">
        <v>54</v>
      </c>
      <c r="F71" s="25" t="s">
        <v>16</v>
      </c>
      <c r="G71" s="15"/>
    </row>
    <row r="72">
      <c r="A72" s="15" t="str">
        <f t="shared" si="2"/>
        <v xml:space="preserve">1 Oct: VSR - " EDD -  </v>
      </c>
      <c r="B72" s="17"/>
      <c r="C72" s="15" t="s">
        <v>53</v>
      </c>
      <c r="D72" s="17"/>
      <c r="E72" s="15" t="s">
        <v>54</v>
      </c>
      <c r="F72" s="25" t="s">
        <v>16</v>
      </c>
      <c r="G72" s="15"/>
    </row>
    <row r="73">
      <c r="A73" s="15" t="str">
        <f t="shared" si="2"/>
        <v xml:space="preserve">1 Oct: VSR - " EDD -  </v>
      </c>
      <c r="B73" s="17"/>
      <c r="C73" s="15" t="s">
        <v>53</v>
      </c>
      <c r="D73" s="17"/>
      <c r="E73" s="15" t="s">
        <v>54</v>
      </c>
      <c r="F73" s="25" t="s">
        <v>16</v>
      </c>
      <c r="G73" s="15"/>
    </row>
    <row r="74">
      <c r="A74" s="15" t="str">
        <f t="shared" si="2"/>
        <v xml:space="preserve">1 Oct: VSR - " EDD -  </v>
      </c>
      <c r="B74" s="17"/>
      <c r="C74" s="15" t="s">
        <v>53</v>
      </c>
      <c r="D74" s="17"/>
      <c r="E74" s="15" t="s">
        <v>54</v>
      </c>
      <c r="F74" s="25" t="s">
        <v>16</v>
      </c>
      <c r="G74" s="15"/>
    </row>
    <row r="75">
      <c r="A75" s="15" t="str">
        <f t="shared" si="2"/>
        <v xml:space="preserve">1 Oct: VSR - " EDD -  </v>
      </c>
      <c r="B75" s="17"/>
      <c r="C75" s="15" t="s">
        <v>53</v>
      </c>
      <c r="D75" s="17"/>
      <c r="E75" s="15" t="s">
        <v>54</v>
      </c>
      <c r="F75" s="25" t="s">
        <v>16</v>
      </c>
      <c r="G75" s="15"/>
    </row>
    <row r="76">
      <c r="A76" s="15" t="str">
        <f t="shared" si="2"/>
        <v xml:space="preserve">1 Oct: VSR - " EDD -  </v>
      </c>
      <c r="B76" s="17"/>
      <c r="C76" s="15" t="s">
        <v>53</v>
      </c>
      <c r="D76" s="17"/>
      <c r="E76" s="15" t="s">
        <v>54</v>
      </c>
      <c r="F76" s="25" t="s">
        <v>16</v>
      </c>
      <c r="G76" s="15"/>
    </row>
    <row r="77">
      <c r="A77" s="15" t="str">
        <f t="shared" si="2"/>
        <v xml:space="preserve">1 Oct: VSR - " EDD -  </v>
      </c>
      <c r="B77" s="17"/>
      <c r="C77" s="15" t="s">
        <v>53</v>
      </c>
      <c r="D77" s="17"/>
      <c r="E77" s="15" t="s">
        <v>54</v>
      </c>
      <c r="F77" s="25" t="s">
        <v>16</v>
      </c>
      <c r="G77" s="15"/>
    </row>
    <row r="78">
      <c r="A78" s="15" t="str">
        <f t="shared" si="2"/>
        <v xml:space="preserve">1 Oct: VSR - " EDD -  </v>
      </c>
      <c r="B78" s="17"/>
      <c r="C78" s="15" t="s">
        <v>53</v>
      </c>
      <c r="D78" s="22"/>
      <c r="E78" s="15" t="s">
        <v>54</v>
      </c>
      <c r="F78" s="25" t="s">
        <v>16</v>
      </c>
      <c r="G78" s="15"/>
    </row>
    <row r="79">
      <c r="A79" s="15" t="str">
        <f t="shared" si="2"/>
        <v xml:space="preserve">1 Oct: VSR - " EDD -  </v>
      </c>
      <c r="B79" s="17"/>
      <c r="C79" s="15" t="s">
        <v>53</v>
      </c>
      <c r="D79" s="17"/>
      <c r="E79" s="15" t="s">
        <v>54</v>
      </c>
      <c r="F79" s="25" t="s">
        <v>16</v>
      </c>
      <c r="G79" s="15"/>
    </row>
    <row r="80">
      <c r="A80" s="15" t="str">
        <f t="shared" si="2"/>
        <v xml:space="preserve">1 Oct: VSR - " EDD -  </v>
      </c>
      <c r="B80" s="17"/>
      <c r="C80" s="15" t="s">
        <v>53</v>
      </c>
      <c r="D80" s="17"/>
      <c r="E80" s="15" t="s">
        <v>54</v>
      </c>
      <c r="F80" s="25" t="s">
        <v>16</v>
      </c>
      <c r="G80" s="15"/>
    </row>
    <row r="81">
      <c r="A81" s="15" t="str">
        <f t="shared" si="2"/>
        <v xml:space="preserve">1 Oct: VSR - " EDD -  </v>
      </c>
      <c r="B81" s="17"/>
      <c r="C81" s="15" t="s">
        <v>53</v>
      </c>
      <c r="D81" s="17"/>
      <c r="E81" s="15" t="s">
        <v>54</v>
      </c>
      <c r="F81" s="25" t="s">
        <v>16</v>
      </c>
      <c r="G81" s="15"/>
    </row>
    <row r="82">
      <c r="A82" s="15" t="str">
        <f t="shared" si="2"/>
        <v xml:space="preserve">1 Oct: VSR - " EDD -  </v>
      </c>
      <c r="B82" s="17"/>
      <c r="C82" s="15" t="s">
        <v>53</v>
      </c>
      <c r="D82" s="17"/>
      <c r="E82" s="15" t="s">
        <v>54</v>
      </c>
      <c r="F82" s="25" t="s">
        <v>16</v>
      </c>
      <c r="G82" s="15"/>
    </row>
    <row r="83">
      <c r="A83" s="15" t="str">
        <f t="shared" si="2"/>
        <v xml:space="preserve">1 Oct: VSR - " EDD -  </v>
      </c>
      <c r="B83" s="17"/>
      <c r="C83" s="15" t="s">
        <v>53</v>
      </c>
      <c r="D83" s="22"/>
      <c r="E83" s="15" t="s">
        <v>54</v>
      </c>
      <c r="F83" s="25" t="s">
        <v>16</v>
      </c>
    </row>
    <row r="84">
      <c r="A84" s="15" t="str">
        <f t="shared" si="2"/>
        <v xml:space="preserve">1 Oct: VSR - " EDD -  </v>
      </c>
      <c r="B84" s="17"/>
      <c r="C84" s="15" t="s">
        <v>53</v>
      </c>
      <c r="D84" s="17"/>
      <c r="E84" s="15" t="s">
        <v>54</v>
      </c>
      <c r="F84" s="25" t="s">
        <v>16</v>
      </c>
    </row>
    <row r="85">
      <c r="A85" s="15" t="str">
        <f t="shared" si="2"/>
        <v xml:space="preserve">1 Oct: VSR - " EDD -  </v>
      </c>
      <c r="B85" s="17"/>
      <c r="C85" s="15" t="s">
        <v>53</v>
      </c>
      <c r="D85" s="17"/>
      <c r="E85" s="15" t="s">
        <v>54</v>
      </c>
      <c r="F85" s="25" t="s">
        <v>16</v>
      </c>
    </row>
    <row r="86">
      <c r="A86" s="15" t="str">
        <f t="shared" si="2"/>
        <v xml:space="preserve">1 Oct: VSR - " EDD -  </v>
      </c>
      <c r="B86" s="17"/>
      <c r="C86" s="15" t="s">
        <v>53</v>
      </c>
      <c r="D86" s="17"/>
      <c r="E86" s="15" t="s">
        <v>54</v>
      </c>
      <c r="F86" s="25" t="s">
        <v>16</v>
      </c>
    </row>
    <row r="87">
      <c r="A87" s="15" t="str">
        <f t="shared" si="2"/>
        <v xml:space="preserve">1 Oct: VSR - " EDD -  </v>
      </c>
      <c r="B87" s="17"/>
      <c r="C87" s="15" t="s">
        <v>53</v>
      </c>
      <c r="D87" s="17"/>
      <c r="E87" s="15" t="s">
        <v>54</v>
      </c>
      <c r="F87" s="25" t="s">
        <v>16</v>
      </c>
    </row>
    <row r="88">
      <c r="A88" s="15" t="str">
        <f t="shared" si="2"/>
        <v xml:space="preserve">1 Oct: VSR - " EDD -  </v>
      </c>
      <c r="B88" s="17"/>
      <c r="C88" s="15" t="s">
        <v>53</v>
      </c>
      <c r="D88" s="17"/>
      <c r="E88" s="15" t="s">
        <v>54</v>
      </c>
      <c r="F88" s="25" t="s">
        <v>16</v>
      </c>
    </row>
    <row r="89">
      <c r="A89" s="15" t="str">
        <f t="shared" si="2"/>
        <v xml:space="preserve">1 Oct: VSR - " EDD -  </v>
      </c>
      <c r="B89" s="17"/>
      <c r="C89" s="15" t="s">
        <v>53</v>
      </c>
      <c r="D89" s="17"/>
      <c r="E89" s="15" t="s">
        <v>54</v>
      </c>
      <c r="F89" s="25" t="s">
        <v>16</v>
      </c>
    </row>
    <row r="90">
      <c r="A90" s="15" t="str">
        <f t="shared" si="2"/>
        <v xml:space="preserve">1 Oct: VSR - " EDD -  </v>
      </c>
      <c r="B90" s="17"/>
      <c r="C90" s="15" t="s">
        <v>53</v>
      </c>
      <c r="D90" s="22"/>
      <c r="E90" s="15" t="s">
        <v>54</v>
      </c>
      <c r="F90" s="25" t="s">
        <v>16</v>
      </c>
    </row>
    <row r="91">
      <c r="A91" s="15" t="str">
        <f t="shared" si="2"/>
        <v xml:space="preserve">1 Oct: VSR - " EDD -  </v>
      </c>
      <c r="B91" s="17"/>
      <c r="C91" s="15" t="s">
        <v>53</v>
      </c>
      <c r="D91" s="22"/>
      <c r="E91" s="15" t="s">
        <v>54</v>
      </c>
      <c r="F91" s="25" t="s">
        <v>16</v>
      </c>
    </row>
    <row r="92">
      <c r="A92" s="15" t="str">
        <f t="shared" si="2"/>
        <v xml:space="preserve">1 Oct: VSR - " EDD -  </v>
      </c>
      <c r="B92" s="17"/>
      <c r="C92" s="15" t="s">
        <v>53</v>
      </c>
      <c r="D92" s="17"/>
      <c r="E92" s="15" t="s">
        <v>54</v>
      </c>
      <c r="F92" s="25" t="s">
        <v>16</v>
      </c>
    </row>
    <row r="93">
      <c r="A93" s="15" t="str">
        <f t="shared" si="2"/>
        <v xml:space="preserve">1 Oct: VSR - " EDD -  </v>
      </c>
      <c r="B93" s="17"/>
      <c r="C93" s="15" t="s">
        <v>53</v>
      </c>
      <c r="D93" s="17"/>
      <c r="E93" s="15" t="s">
        <v>54</v>
      </c>
      <c r="F93" s="25" t="s">
        <v>16</v>
      </c>
    </row>
    <row r="94">
      <c r="A94" s="15" t="str">
        <f t="shared" si="2"/>
        <v xml:space="preserve">1 Oct: VSR - " EDD -  </v>
      </c>
      <c r="B94" s="17"/>
      <c r="C94" s="15" t="s">
        <v>53</v>
      </c>
      <c r="D94" s="17"/>
      <c r="E94" s="15" t="s">
        <v>54</v>
      </c>
      <c r="F94" s="25" t="s">
        <v>16</v>
      </c>
    </row>
    <row r="95">
      <c r="A95" s="15" t="str">
        <f t="shared" si="2"/>
        <v xml:space="preserve">1 Oct: VSR - " EDD -  </v>
      </c>
      <c r="B95" s="17"/>
      <c r="C95" s="15" t="s">
        <v>53</v>
      </c>
      <c r="D95" s="17"/>
      <c r="E95" s="15" t="s">
        <v>54</v>
      </c>
      <c r="F95" s="25" t="s">
        <v>16</v>
      </c>
    </row>
    <row r="96">
      <c r="A96" s="15" t="str">
        <f t="shared" si="2"/>
        <v xml:space="preserve">1 Oct: VSR - " EDD -  </v>
      </c>
      <c r="B96" s="17"/>
      <c r="C96" s="15" t="s">
        <v>53</v>
      </c>
      <c r="D96" s="17"/>
      <c r="E96" s="15" t="s">
        <v>54</v>
      </c>
      <c r="F96" s="25" t="s">
        <v>16</v>
      </c>
    </row>
    <row r="97">
      <c r="A97" s="15" t="str">
        <f t="shared" si="2"/>
        <v xml:space="preserve">21 Aug: VSR - " EDD -  </v>
      </c>
      <c r="B97" s="17"/>
      <c r="C97" s="15" t="s">
        <v>55</v>
      </c>
      <c r="D97" s="17"/>
      <c r="E97" s="15" t="s">
        <v>54</v>
      </c>
      <c r="F97" s="25" t="s">
        <v>16</v>
      </c>
    </row>
    <row r="98">
      <c r="A98" s="15" t="str">
        <f t="shared" ref="A98:A129" si="3">_xlfn.TEXTJOIN("",1,C98:E98,TEXT(F98,"dd/mm/yyyy"),G98)</f>
        <v xml:space="preserve">21 Aug: VSR - " EDD -  </v>
      </c>
      <c r="B98" s="17"/>
      <c r="C98" s="15" t="s">
        <v>55</v>
      </c>
      <c r="D98" s="17"/>
      <c r="E98" s="15" t="s">
        <v>54</v>
      </c>
      <c r="F98" s="25" t="s">
        <v>16</v>
      </c>
    </row>
    <row r="99">
      <c r="A99" s="15" t="str">
        <f t="shared" si="3"/>
        <v xml:space="preserve">21 Aug: VSR - " EDD -  </v>
      </c>
      <c r="B99" s="17"/>
      <c r="C99" s="15" t="s">
        <v>55</v>
      </c>
      <c r="D99" s="17"/>
      <c r="E99" s="15" t="s">
        <v>54</v>
      </c>
      <c r="F99" s="25" t="s">
        <v>16</v>
      </c>
    </row>
    <row r="100">
      <c r="A100" s="15" t="str">
        <f t="shared" si="3"/>
        <v xml:space="preserve">21 Aug: VSR - " EDD -  </v>
      </c>
      <c r="B100" s="17"/>
      <c r="C100" s="15" t="s">
        <v>55</v>
      </c>
      <c r="D100" s="22"/>
      <c r="E100" s="15" t="s">
        <v>54</v>
      </c>
      <c r="F100" s="25" t="s">
        <v>16</v>
      </c>
    </row>
    <row r="101">
      <c r="A101" s="15" t="str">
        <f t="shared" si="3"/>
        <v xml:space="preserve">21 Aug: VSR - " EDD -  </v>
      </c>
      <c r="B101" s="17"/>
      <c r="C101" s="15" t="s">
        <v>55</v>
      </c>
      <c r="D101" s="17"/>
      <c r="E101" s="15" t="s">
        <v>54</v>
      </c>
      <c r="F101" s="25" t="s">
        <v>16</v>
      </c>
    </row>
    <row r="102">
      <c r="A102" s="15" t="str">
        <f t="shared" si="3"/>
        <v xml:space="preserve">21 Aug: VSR - " EDD -  </v>
      </c>
      <c r="B102" s="17"/>
      <c r="C102" s="15" t="s">
        <v>55</v>
      </c>
      <c r="D102" s="17"/>
      <c r="E102" s="15" t="s">
        <v>54</v>
      </c>
      <c r="F102" s="25" t="s">
        <v>16</v>
      </c>
    </row>
    <row r="103">
      <c r="A103" s="15" t="str">
        <f t="shared" si="3"/>
        <v xml:space="preserve">21 Aug: VSR - " EDD -  </v>
      </c>
      <c r="B103" s="17"/>
      <c r="C103" s="15" t="s">
        <v>55</v>
      </c>
      <c r="D103" s="22"/>
      <c r="E103" s="15" t="s">
        <v>54</v>
      </c>
      <c r="F103" s="25" t="s">
        <v>16</v>
      </c>
    </row>
    <row r="104">
      <c r="A104" s="15" t="str">
        <f t="shared" si="3"/>
        <v xml:space="preserve">21 Aug: VSR - " EDD -  </v>
      </c>
      <c r="B104" s="17"/>
      <c r="C104" s="15" t="s">
        <v>55</v>
      </c>
      <c r="D104" s="17"/>
      <c r="E104" s="15" t="s">
        <v>54</v>
      </c>
      <c r="F104" s="25" t="s">
        <v>16</v>
      </c>
    </row>
    <row r="105">
      <c r="A105" s="15" t="str">
        <f t="shared" si="3"/>
        <v xml:space="preserve">21 Aug: VSR - " EDD -  </v>
      </c>
      <c r="B105" s="17"/>
      <c r="C105" s="15" t="s">
        <v>55</v>
      </c>
      <c r="D105" s="17"/>
      <c r="E105" s="15" t="s">
        <v>54</v>
      </c>
      <c r="F105" s="25" t="s">
        <v>16</v>
      </c>
    </row>
    <row r="106">
      <c r="A106" s="15" t="str">
        <f t="shared" si="3"/>
        <v xml:space="preserve">21 Aug: VSR - " EDD -  </v>
      </c>
      <c r="B106" s="17"/>
      <c r="C106" s="15" t="s">
        <v>55</v>
      </c>
      <c r="D106" s="17"/>
      <c r="E106" s="15" t="s">
        <v>54</v>
      </c>
      <c r="F106" s="25" t="s">
        <v>16</v>
      </c>
    </row>
    <row r="107">
      <c r="A107" s="15" t="str">
        <f t="shared" si="3"/>
        <v xml:space="preserve">21 Aug: VSR - " EDD -  </v>
      </c>
      <c r="B107" s="17"/>
      <c r="C107" s="15" t="s">
        <v>55</v>
      </c>
      <c r="D107" s="22"/>
      <c r="E107" s="15" t="s">
        <v>54</v>
      </c>
      <c r="F107" s="25" t="s">
        <v>16</v>
      </c>
    </row>
    <row r="108">
      <c r="A108" s="15" t="str">
        <f t="shared" si="3"/>
        <v xml:space="preserve">21 Aug: VSR - " EDD -  </v>
      </c>
      <c r="B108" s="17"/>
      <c r="C108" s="15" t="s">
        <v>55</v>
      </c>
      <c r="D108" s="17"/>
      <c r="E108" s="15" t="s">
        <v>54</v>
      </c>
      <c r="F108" s="25" t="s">
        <v>16</v>
      </c>
    </row>
    <row r="109">
      <c r="A109" s="15" t="str">
        <f t="shared" si="3"/>
        <v xml:space="preserve">21 Aug: VSR - " EDD -  </v>
      </c>
      <c r="B109" s="17"/>
      <c r="C109" s="15" t="s">
        <v>55</v>
      </c>
      <c r="D109" s="17"/>
      <c r="E109" s="15" t="s">
        <v>54</v>
      </c>
      <c r="F109" s="25" t="s">
        <v>16</v>
      </c>
    </row>
    <row r="110">
      <c r="A110" s="15" t="str">
        <f t="shared" si="3"/>
        <v xml:space="preserve">21 Aug: VSR - " EDD -  </v>
      </c>
      <c r="B110" s="17"/>
      <c r="C110" s="15" t="s">
        <v>55</v>
      </c>
      <c r="D110" s="17"/>
      <c r="E110" s="15" t="s">
        <v>54</v>
      </c>
      <c r="F110" s="25" t="s">
        <v>16</v>
      </c>
    </row>
    <row r="111">
      <c r="A111" s="15" t="str">
        <f t="shared" si="3"/>
        <v xml:space="preserve">21 Aug: VSR - " EDD -  </v>
      </c>
      <c r="B111" s="17"/>
      <c r="C111" s="15" t="s">
        <v>55</v>
      </c>
      <c r="D111" s="17"/>
      <c r="E111" s="15" t="s">
        <v>54</v>
      </c>
      <c r="F111" s="25" t="s">
        <v>16</v>
      </c>
    </row>
    <row r="112">
      <c r="A112" s="15" t="str">
        <f t="shared" si="3"/>
        <v xml:space="preserve">21 Aug: VSR - " EDD -  </v>
      </c>
      <c r="B112" s="17"/>
      <c r="C112" s="15" t="s">
        <v>55</v>
      </c>
      <c r="D112" s="17"/>
      <c r="E112" s="15" t="s">
        <v>54</v>
      </c>
      <c r="F112" s="25" t="s">
        <v>16</v>
      </c>
    </row>
    <row r="113">
      <c r="A113" s="15" t="str">
        <f t="shared" si="3"/>
        <v xml:space="preserve">21 Aug: VSR - " EDD -  </v>
      </c>
      <c r="B113" s="17"/>
      <c r="C113" s="15" t="s">
        <v>55</v>
      </c>
      <c r="D113" s="17"/>
      <c r="E113" s="15" t="s">
        <v>54</v>
      </c>
      <c r="F113" s="25" t="s">
        <v>16</v>
      </c>
    </row>
    <row r="114">
      <c r="A114" s="15" t="str">
        <f t="shared" si="3"/>
        <v xml:space="preserve">21 Aug: VSR - " EDD -  </v>
      </c>
      <c r="B114" s="17"/>
      <c r="C114" s="15" t="s">
        <v>55</v>
      </c>
      <c r="D114" s="17"/>
      <c r="E114" s="15" t="s">
        <v>54</v>
      </c>
      <c r="F114" s="25" t="s">
        <v>16</v>
      </c>
    </row>
    <row r="115">
      <c r="A115" s="15" t="str">
        <f t="shared" si="3"/>
        <v xml:space="preserve">21 Aug: VSR - " EDD -  </v>
      </c>
      <c r="B115" s="17"/>
      <c r="C115" s="15" t="s">
        <v>55</v>
      </c>
      <c r="D115" s="17"/>
      <c r="E115" s="15" t="s">
        <v>54</v>
      </c>
      <c r="F115" s="25" t="s">
        <v>16</v>
      </c>
    </row>
    <row r="116">
      <c r="A116" s="15" t="str">
        <f t="shared" si="3"/>
        <v xml:space="preserve">21 Aug: VSR - " EDD -  </v>
      </c>
      <c r="B116" s="17"/>
      <c r="C116" s="15" t="s">
        <v>55</v>
      </c>
      <c r="D116" s="17"/>
      <c r="E116" s="15" t="s">
        <v>54</v>
      </c>
      <c r="F116" s="25" t="s">
        <v>16</v>
      </c>
    </row>
    <row r="117">
      <c r="A117" s="15" t="str">
        <f t="shared" si="3"/>
        <v xml:space="preserve">21 Aug: VSR - " EDD -  </v>
      </c>
      <c r="B117" s="17"/>
      <c r="C117" s="15" t="s">
        <v>55</v>
      </c>
      <c r="D117" s="17"/>
      <c r="E117" s="15" t="s">
        <v>54</v>
      </c>
      <c r="F117" s="25" t="s">
        <v>16</v>
      </c>
    </row>
    <row r="118">
      <c r="A118" s="15" t="str">
        <f t="shared" si="3"/>
        <v xml:space="preserve">21 Aug: VSR - " EDD -  </v>
      </c>
      <c r="B118" s="17"/>
      <c r="C118" s="15" t="s">
        <v>55</v>
      </c>
      <c r="D118" s="17"/>
      <c r="E118" s="15" t="s">
        <v>54</v>
      </c>
      <c r="F118" s="25" t="s">
        <v>16</v>
      </c>
    </row>
    <row r="119">
      <c r="A119" s="15" t="str">
        <f t="shared" si="3"/>
        <v xml:space="preserve">21 Aug: VSR - " EDD -  </v>
      </c>
      <c r="B119" s="17"/>
      <c r="C119" s="15" t="s">
        <v>55</v>
      </c>
      <c r="D119" s="17"/>
      <c r="E119" s="15" t="s">
        <v>54</v>
      </c>
      <c r="F119" s="25" t="s">
        <v>16</v>
      </c>
    </row>
    <row r="120">
      <c r="A120" s="15" t="str">
        <f t="shared" si="3"/>
        <v xml:space="preserve">21 Aug: VSR - " EDD -  </v>
      </c>
      <c r="B120" s="17"/>
      <c r="C120" s="15" t="s">
        <v>55</v>
      </c>
      <c r="D120" s="22"/>
      <c r="E120" s="15" t="s">
        <v>54</v>
      </c>
      <c r="F120" s="25" t="s">
        <v>16</v>
      </c>
    </row>
    <row r="121">
      <c r="A121" s="15" t="str">
        <f t="shared" si="3"/>
        <v xml:space="preserve">21 Aug: VSR - " EDD -  </v>
      </c>
      <c r="B121" s="17"/>
      <c r="C121" s="15" t="s">
        <v>55</v>
      </c>
      <c r="D121" s="17"/>
      <c r="E121" s="15" t="s">
        <v>54</v>
      </c>
      <c r="F121" s="25" t="s">
        <v>16</v>
      </c>
    </row>
    <row r="122">
      <c r="A122" s="15" t="str">
        <f t="shared" si="3"/>
        <v xml:space="preserve">21 Aug: VSR - " EDD -  </v>
      </c>
      <c r="B122" s="17"/>
      <c r="C122" s="15" t="s">
        <v>55</v>
      </c>
      <c r="D122" s="22"/>
      <c r="E122" s="15" t="s">
        <v>54</v>
      </c>
      <c r="F122" s="25" t="s">
        <v>16</v>
      </c>
    </row>
    <row r="123">
      <c r="A123" s="15" t="str">
        <f t="shared" si="3"/>
        <v xml:space="preserve">21 Aug: VSR - " EDD -  </v>
      </c>
      <c r="B123" s="17"/>
      <c r="C123" s="15" t="s">
        <v>55</v>
      </c>
      <c r="D123" s="17"/>
      <c r="E123" s="15" t="s">
        <v>54</v>
      </c>
      <c r="F123" s="25" t="s">
        <v>16</v>
      </c>
    </row>
    <row r="124">
      <c r="A124" s="15" t="str">
        <f t="shared" si="3"/>
        <v xml:space="preserve">21 Aug: VSR - " EDD -  </v>
      </c>
      <c r="B124" s="17"/>
      <c r="C124" s="15" t="s">
        <v>55</v>
      </c>
      <c r="D124" s="17"/>
      <c r="E124" s="15" t="s">
        <v>54</v>
      </c>
      <c r="F124" s="25" t="s">
        <v>16</v>
      </c>
    </row>
    <row r="125">
      <c r="A125" s="15" t="str">
        <f t="shared" si="3"/>
        <v xml:space="preserve">21 Aug: VSR - " EDD -  </v>
      </c>
      <c r="B125" s="17"/>
      <c r="C125" s="15" t="s">
        <v>55</v>
      </c>
      <c r="D125" s="17"/>
      <c r="E125" s="15" t="s">
        <v>54</v>
      </c>
      <c r="F125" s="25" t="s">
        <v>16</v>
      </c>
    </row>
    <row r="126">
      <c r="A126" s="15" t="str">
        <f t="shared" si="3"/>
        <v xml:space="preserve">21 Aug: VSR - " EDD -  </v>
      </c>
      <c r="B126" s="17"/>
      <c r="C126" s="15" t="s">
        <v>55</v>
      </c>
      <c r="D126" s="17"/>
      <c r="E126" s="15" t="s">
        <v>54</v>
      </c>
      <c r="F126" s="25" t="s">
        <v>16</v>
      </c>
    </row>
    <row r="127">
      <c r="A127" s="15" t="str">
        <f t="shared" si="3"/>
        <v xml:space="preserve">21 Aug: VSR - " EDD -  </v>
      </c>
      <c r="B127" s="17"/>
      <c r="C127" s="15" t="s">
        <v>55</v>
      </c>
      <c r="D127" s="17"/>
      <c r="E127" s="15" t="s">
        <v>54</v>
      </c>
      <c r="F127" s="25" t="s">
        <v>16</v>
      </c>
    </row>
    <row r="128">
      <c r="A128" s="15" t="str">
        <f t="shared" si="3"/>
        <v xml:space="preserve">21 Aug: VSR - " EDD -  </v>
      </c>
      <c r="B128" s="17"/>
      <c r="C128" s="15" t="s">
        <v>55</v>
      </c>
      <c r="D128" s="17"/>
      <c r="E128" s="15" t="s">
        <v>54</v>
      </c>
      <c r="F128" s="25" t="s">
        <v>16</v>
      </c>
    </row>
    <row r="129">
      <c r="A129" s="15" t="str">
        <f t="shared" si="3"/>
        <v xml:space="preserve">21 Aug: VSR - " EDD -  </v>
      </c>
      <c r="B129" s="17"/>
      <c r="C129" s="15" t="s">
        <v>55</v>
      </c>
      <c r="D129" s="17"/>
      <c r="E129" s="15" t="s">
        <v>54</v>
      </c>
      <c r="F129" s="25" t="s">
        <v>16</v>
      </c>
    </row>
    <row r="130">
      <c r="A130" s="15" t="str">
        <f t="shared" ref="A130:A193" si="4">_xlfn.TEXTJOIN("",1,C130:E130,TEXT(F130,"dd/mm/yyyy"),G130)</f>
        <v xml:space="preserve">21 Aug: VSR - " EDD -  </v>
      </c>
      <c r="B130" s="17"/>
      <c r="C130" s="15" t="s">
        <v>55</v>
      </c>
      <c r="D130" s="17"/>
      <c r="E130" s="15" t="s">
        <v>54</v>
      </c>
      <c r="F130" s="25" t="s">
        <v>16</v>
      </c>
    </row>
    <row r="131">
      <c r="A131" s="15" t="str">
        <f t="shared" si="4"/>
        <v xml:space="preserve">21 Aug: VSR - " EDD -  </v>
      </c>
      <c r="B131" s="17"/>
      <c r="C131" s="15" t="s">
        <v>55</v>
      </c>
      <c r="D131" s="17"/>
      <c r="E131" s="15" t="s">
        <v>54</v>
      </c>
      <c r="F131" s="25" t="s">
        <v>16</v>
      </c>
    </row>
    <row r="132">
      <c r="A132" s="15" t="str">
        <f t="shared" si="4"/>
        <v xml:space="preserve">21 Aug: VSR - " EDD -  </v>
      </c>
      <c r="B132" s="17"/>
      <c r="C132" s="15" t="s">
        <v>55</v>
      </c>
      <c r="D132" s="17"/>
      <c r="E132" s="15" t="s">
        <v>54</v>
      </c>
      <c r="F132" s="25" t="s">
        <v>16</v>
      </c>
    </row>
    <row r="133">
      <c r="A133" s="15" t="str">
        <f t="shared" si="4"/>
        <v xml:space="preserve">21 Aug: VSR - " EDD -  </v>
      </c>
      <c r="B133" s="17"/>
      <c r="C133" s="15" t="s">
        <v>55</v>
      </c>
      <c r="D133" s="17"/>
      <c r="E133" s="15" t="s">
        <v>54</v>
      </c>
      <c r="F133" s="25" t="s">
        <v>16</v>
      </c>
    </row>
    <row r="134">
      <c r="A134" s="15" t="str">
        <f t="shared" si="4"/>
        <v xml:space="preserve">21 Aug: VSR - " EDD -  </v>
      </c>
      <c r="B134" s="17"/>
      <c r="C134" s="15" t="s">
        <v>55</v>
      </c>
      <c r="D134" s="17"/>
      <c r="E134" s="15" t="s">
        <v>54</v>
      </c>
      <c r="F134" s="25" t="s">
        <v>16</v>
      </c>
    </row>
    <row r="135">
      <c r="A135" s="15" t="str">
        <f t="shared" si="4"/>
        <v xml:space="preserve">21 Aug: VSR - " EDD -  </v>
      </c>
      <c r="B135" s="17"/>
      <c r="C135" s="15" t="s">
        <v>55</v>
      </c>
      <c r="D135" s="17"/>
      <c r="E135" s="15" t="s">
        <v>54</v>
      </c>
      <c r="F135" s="25" t="s">
        <v>16</v>
      </c>
    </row>
    <row r="136">
      <c r="A136" s="15" t="str">
        <f t="shared" si="4"/>
        <v xml:space="preserve">21 Aug: VSR - " EDD -  </v>
      </c>
      <c r="B136" s="17"/>
      <c r="C136" s="15" t="s">
        <v>55</v>
      </c>
      <c r="D136" s="17"/>
      <c r="E136" s="15" t="s">
        <v>54</v>
      </c>
      <c r="F136" s="25" t="s">
        <v>16</v>
      </c>
    </row>
    <row r="137">
      <c r="A137" s="15" t="str">
        <f t="shared" si="4"/>
        <v xml:space="preserve">21 Aug: VSR - " EDD -  </v>
      </c>
      <c r="B137" s="17"/>
      <c r="C137" s="15" t="s">
        <v>55</v>
      </c>
      <c r="D137" s="17"/>
      <c r="E137" s="15" t="s">
        <v>54</v>
      </c>
      <c r="F137" s="25" t="s">
        <v>16</v>
      </c>
    </row>
    <row r="138">
      <c r="A138" s="15" t="str">
        <f t="shared" si="4"/>
        <v xml:space="preserve">21 Aug: VSR - " EDD -  </v>
      </c>
      <c r="B138" s="17"/>
      <c r="C138" s="15" t="s">
        <v>55</v>
      </c>
      <c r="D138" s="17"/>
      <c r="E138" s="15" t="s">
        <v>54</v>
      </c>
      <c r="F138" s="25" t="s">
        <v>16</v>
      </c>
    </row>
    <row r="139">
      <c r="A139" s="15" t="str">
        <f t="shared" si="4"/>
        <v xml:space="preserve">21 Aug: VSR - " EDD -  </v>
      </c>
      <c r="B139" s="17"/>
      <c r="C139" s="15" t="s">
        <v>55</v>
      </c>
      <c r="D139" s="17"/>
      <c r="E139" s="15" t="s">
        <v>54</v>
      </c>
      <c r="F139" s="25" t="s">
        <v>16</v>
      </c>
    </row>
    <row r="140">
      <c r="A140" s="15" t="str">
        <f t="shared" si="4"/>
        <v xml:space="preserve">21 Aug: VSR - " EDD -  </v>
      </c>
      <c r="B140" s="17"/>
      <c r="C140" s="15" t="s">
        <v>55</v>
      </c>
      <c r="D140" s="17"/>
      <c r="E140" s="15" t="s">
        <v>54</v>
      </c>
      <c r="F140" s="25" t="s">
        <v>16</v>
      </c>
    </row>
    <row r="141">
      <c r="A141" s="15" t="str">
        <f t="shared" si="4"/>
        <v xml:space="preserve">21 Aug: VSR - " EDD -  </v>
      </c>
      <c r="B141" s="17"/>
      <c r="C141" s="15" t="s">
        <v>55</v>
      </c>
      <c r="D141" s="17"/>
      <c r="E141" s="15" t="s">
        <v>54</v>
      </c>
      <c r="F141" s="25" t="s">
        <v>16</v>
      </c>
    </row>
    <row r="142">
      <c r="A142" s="15" t="str">
        <f t="shared" si="4"/>
        <v xml:space="preserve">21 Aug: VSR - " EDD -  </v>
      </c>
      <c r="B142" s="17"/>
      <c r="C142" s="15" t="s">
        <v>55</v>
      </c>
      <c r="D142" s="17"/>
      <c r="E142" s="15" t="s">
        <v>54</v>
      </c>
      <c r="F142" s="25" t="s">
        <v>16</v>
      </c>
    </row>
    <row r="143">
      <c r="A143" s="15" t="str">
        <f t="shared" si="4"/>
        <v xml:space="preserve">21 Aug: VSR - " EDD -  </v>
      </c>
      <c r="B143" s="17"/>
      <c r="C143" s="15" t="s">
        <v>55</v>
      </c>
      <c r="D143" s="17"/>
      <c r="E143" s="15" t="s">
        <v>54</v>
      </c>
      <c r="F143" s="25" t="s">
        <v>16</v>
      </c>
    </row>
    <row r="144">
      <c r="A144" s="15" t="str">
        <f t="shared" si="4"/>
        <v xml:space="preserve">21 Aug: VSR - " EDD -  </v>
      </c>
      <c r="B144" s="17"/>
      <c r="C144" s="15" t="s">
        <v>55</v>
      </c>
      <c r="D144" s="17"/>
      <c r="E144" s="15" t="s">
        <v>54</v>
      </c>
      <c r="F144" s="25" t="s">
        <v>16</v>
      </c>
    </row>
    <row r="145">
      <c r="A145" s="15" t="str">
        <f t="shared" si="4"/>
        <v xml:space="preserve">21 Aug: VSR - " EDD -  </v>
      </c>
      <c r="B145" s="17"/>
      <c r="C145" s="15" t="s">
        <v>55</v>
      </c>
      <c r="D145" s="17"/>
      <c r="E145" s="15" t="s">
        <v>54</v>
      </c>
      <c r="F145" s="25" t="s">
        <v>16</v>
      </c>
    </row>
    <row r="146">
      <c r="A146" s="15" t="str">
        <f t="shared" si="4"/>
        <v xml:space="preserve">21 Aug: VSR - " EDD -  </v>
      </c>
      <c r="B146" s="17"/>
      <c r="C146" s="15" t="s">
        <v>55</v>
      </c>
      <c r="D146" s="17"/>
      <c r="E146" s="15" t="s">
        <v>54</v>
      </c>
      <c r="F146" s="25" t="s">
        <v>16</v>
      </c>
    </row>
    <row r="147">
      <c r="A147" s="15" t="str">
        <f t="shared" si="4"/>
        <v xml:space="preserve">21 Aug: VSR - " EDD -  </v>
      </c>
      <c r="B147" s="17"/>
      <c r="C147" s="15" t="s">
        <v>55</v>
      </c>
      <c r="D147" s="17"/>
      <c r="E147" s="15" t="s">
        <v>54</v>
      </c>
      <c r="F147" s="25" t="s">
        <v>16</v>
      </c>
    </row>
    <row r="148">
      <c r="A148" s="15" t="str">
        <f t="shared" si="4"/>
        <v xml:space="preserve">21 Aug: VSR - " EDD -  </v>
      </c>
      <c r="B148" s="17"/>
      <c r="C148" s="15" t="s">
        <v>55</v>
      </c>
      <c r="D148" s="17"/>
      <c r="E148" s="15" t="s">
        <v>54</v>
      </c>
      <c r="F148" s="25" t="s">
        <v>16</v>
      </c>
    </row>
    <row r="149">
      <c r="A149" s="15" t="str">
        <f t="shared" si="4"/>
        <v xml:space="preserve">21 Aug: VSR - " EDD -  </v>
      </c>
      <c r="B149" s="17"/>
      <c r="C149" s="15" t="s">
        <v>55</v>
      </c>
      <c r="D149" s="17"/>
      <c r="E149" s="15" t="s">
        <v>54</v>
      </c>
      <c r="F149" s="25" t="s">
        <v>16</v>
      </c>
    </row>
    <row r="150">
      <c r="A150" s="15" t="str">
        <f t="shared" si="4"/>
        <v xml:space="preserve">21 Aug: VSR - " EDD -  </v>
      </c>
      <c r="B150" s="17"/>
      <c r="C150" s="15" t="s">
        <v>55</v>
      </c>
      <c r="D150" s="17"/>
      <c r="E150" s="15" t="s">
        <v>54</v>
      </c>
      <c r="F150" s="25" t="s">
        <v>16</v>
      </c>
    </row>
    <row r="151">
      <c r="A151" s="15" t="str">
        <f t="shared" si="4"/>
        <v xml:space="preserve">21 Aug: VSR - " EDD -  </v>
      </c>
      <c r="B151" s="17"/>
      <c r="C151" s="15" t="s">
        <v>55</v>
      </c>
      <c r="D151" s="17"/>
      <c r="E151" s="15" t="s">
        <v>54</v>
      </c>
      <c r="F151" s="25" t="s">
        <v>16</v>
      </c>
    </row>
    <row r="152">
      <c r="A152" s="15" t="str">
        <f t="shared" si="4"/>
        <v xml:space="preserve">21 Aug: VSR - " EDD -  </v>
      </c>
      <c r="B152" s="17"/>
      <c r="C152" s="15" t="s">
        <v>55</v>
      </c>
      <c r="D152" s="17"/>
      <c r="E152" s="15" t="s">
        <v>54</v>
      </c>
      <c r="F152" s="25" t="s">
        <v>16</v>
      </c>
    </row>
    <row r="153">
      <c r="A153" s="15" t="str">
        <f t="shared" si="4"/>
        <v xml:space="preserve">21 Aug: VSR - " EDD -  </v>
      </c>
      <c r="B153" s="17"/>
      <c r="C153" s="15" t="s">
        <v>55</v>
      </c>
      <c r="D153" s="17"/>
      <c r="E153" s="15" t="s">
        <v>54</v>
      </c>
      <c r="F153" s="25" t="s">
        <v>16</v>
      </c>
    </row>
    <row r="154">
      <c r="A154" s="15" t="str">
        <f t="shared" si="4"/>
        <v xml:space="preserve">21 Aug: VSR - " EDD -  </v>
      </c>
      <c r="B154" s="17"/>
      <c r="C154" s="15" t="s">
        <v>55</v>
      </c>
      <c r="D154" s="17"/>
      <c r="E154" s="15" t="s">
        <v>54</v>
      </c>
      <c r="F154" s="25" t="s">
        <v>16</v>
      </c>
    </row>
    <row r="155">
      <c r="A155" s="15" t="str">
        <f t="shared" si="4"/>
        <v xml:space="preserve">21 Aug: VSR - " EDD -  </v>
      </c>
      <c r="B155" s="17"/>
      <c r="C155" s="15" t="s">
        <v>55</v>
      </c>
      <c r="D155" s="17"/>
      <c r="E155" s="15" t="s">
        <v>54</v>
      </c>
      <c r="F155" s="25" t="s">
        <v>16</v>
      </c>
    </row>
    <row r="156">
      <c r="A156" s="15" t="str">
        <f t="shared" si="4"/>
        <v xml:space="preserve">21 Aug: VSR - " EDD -  </v>
      </c>
      <c r="B156" s="17"/>
      <c r="C156" s="15" t="s">
        <v>55</v>
      </c>
      <c r="D156" s="17"/>
      <c r="E156" s="15" t="s">
        <v>54</v>
      </c>
      <c r="F156" s="25" t="s">
        <v>16</v>
      </c>
    </row>
    <row r="157">
      <c r="A157" s="15" t="str">
        <f t="shared" si="4"/>
        <v xml:space="preserve">21 Aug: VSR - " EDD -  </v>
      </c>
      <c r="B157" s="17"/>
      <c r="C157" s="15" t="s">
        <v>55</v>
      </c>
      <c r="D157" s="17"/>
      <c r="E157" s="15" t="s">
        <v>54</v>
      </c>
      <c r="F157" s="25" t="s">
        <v>16</v>
      </c>
    </row>
    <row r="158">
      <c r="A158" s="15" t="str">
        <f t="shared" si="4"/>
        <v xml:space="preserve">21 Aug: VSR - " EDD -  </v>
      </c>
      <c r="B158" s="17"/>
      <c r="C158" s="15" t="s">
        <v>55</v>
      </c>
      <c r="D158" s="17"/>
      <c r="E158" s="15" t="s">
        <v>54</v>
      </c>
      <c r="F158" s="25" t="s">
        <v>16</v>
      </c>
    </row>
    <row r="159">
      <c r="A159" s="15" t="str">
        <f t="shared" si="4"/>
        <v xml:space="preserve">21 Aug: VSR - " EDD -  </v>
      </c>
      <c r="B159" s="17"/>
      <c r="C159" s="15" t="s">
        <v>55</v>
      </c>
      <c r="D159" s="17"/>
      <c r="E159" s="15" t="s">
        <v>54</v>
      </c>
      <c r="F159" s="25" t="s">
        <v>16</v>
      </c>
    </row>
    <row r="160">
      <c r="A160" s="15" t="str">
        <f t="shared" si="4"/>
        <v xml:space="preserve">21 Aug: VSR - " EDD -  </v>
      </c>
      <c r="B160" s="17"/>
      <c r="C160" s="15" t="s">
        <v>55</v>
      </c>
      <c r="D160" s="17"/>
      <c r="E160" s="15" t="s">
        <v>54</v>
      </c>
      <c r="F160" s="25" t="s">
        <v>16</v>
      </c>
    </row>
    <row r="161">
      <c r="A161" s="15" t="str">
        <f t="shared" si="4"/>
        <v xml:space="preserve">21 Aug: VSR - " EDD -  </v>
      </c>
      <c r="B161" s="17"/>
      <c r="C161" s="15" t="s">
        <v>55</v>
      </c>
      <c r="D161" s="17"/>
      <c r="E161" s="15" t="s">
        <v>54</v>
      </c>
      <c r="F161" s="25" t="s">
        <v>16</v>
      </c>
    </row>
    <row r="162">
      <c r="A162" s="15" t="str">
        <f t="shared" si="4"/>
        <v xml:space="preserve">21 Aug: VSR - " EDD -  </v>
      </c>
      <c r="B162" s="17"/>
      <c r="C162" s="15" t="s">
        <v>55</v>
      </c>
      <c r="D162" s="17"/>
      <c r="E162" s="15" t="s">
        <v>54</v>
      </c>
      <c r="F162" s="25" t="s">
        <v>16</v>
      </c>
    </row>
    <row r="163">
      <c r="A163" s="15" t="str">
        <f t="shared" si="4"/>
        <v xml:space="preserve">21 Aug: VSR - " EDD -  </v>
      </c>
      <c r="B163" s="17"/>
      <c r="C163" s="15" t="s">
        <v>55</v>
      </c>
      <c r="D163" s="17"/>
      <c r="E163" s="15" t="s">
        <v>54</v>
      </c>
      <c r="F163" s="25" t="s">
        <v>16</v>
      </c>
    </row>
    <row r="164">
      <c r="A164" s="15" t="str">
        <f t="shared" si="4"/>
        <v xml:space="preserve">21 Aug: VSR - " EDD -  </v>
      </c>
      <c r="B164" s="17"/>
      <c r="C164" s="15" t="s">
        <v>55</v>
      </c>
      <c r="D164" s="17"/>
      <c r="E164" s="15" t="s">
        <v>54</v>
      </c>
      <c r="F164" s="25" t="s">
        <v>16</v>
      </c>
    </row>
    <row r="165">
      <c r="A165" s="15" t="str">
        <f t="shared" si="4"/>
        <v xml:space="preserve">21 Aug: VSR - " EDD -  </v>
      </c>
      <c r="B165" s="17"/>
      <c r="C165" s="15" t="s">
        <v>55</v>
      </c>
      <c r="D165" s="17"/>
      <c r="E165" s="15" t="s">
        <v>54</v>
      </c>
      <c r="F165" s="25" t="s">
        <v>16</v>
      </c>
    </row>
    <row r="166">
      <c r="A166" s="15" t="str">
        <f t="shared" si="4"/>
        <v xml:space="preserve">21 Aug: VSR - " EDD -  </v>
      </c>
      <c r="B166" s="17"/>
      <c r="C166" s="15" t="s">
        <v>55</v>
      </c>
      <c r="D166" s="17"/>
      <c r="E166" s="15" t="s">
        <v>54</v>
      </c>
      <c r="F166" s="25" t="s">
        <v>16</v>
      </c>
    </row>
    <row r="167">
      <c r="A167" s="15" t="str">
        <f t="shared" si="4"/>
        <v xml:space="preserve">21 Aug: VSR - " EDD -  </v>
      </c>
      <c r="B167" s="17"/>
      <c r="C167" s="15" t="s">
        <v>55</v>
      </c>
      <c r="D167" s="17"/>
      <c r="E167" s="15" t="s">
        <v>54</v>
      </c>
      <c r="F167" s="25" t="s">
        <v>16</v>
      </c>
    </row>
    <row r="168">
      <c r="A168" s="15" t="str">
        <f t="shared" si="4"/>
        <v xml:space="preserve">21 Aug: VSR - " EDD -  </v>
      </c>
      <c r="B168" s="17"/>
      <c r="C168" s="15" t="s">
        <v>55</v>
      </c>
      <c r="D168" s="17"/>
      <c r="E168" s="15" t="s">
        <v>54</v>
      </c>
      <c r="F168" s="25" t="s">
        <v>16</v>
      </c>
    </row>
    <row r="169">
      <c r="A169" s="15" t="str">
        <f t="shared" si="4"/>
        <v xml:space="preserve">21 Aug: VSR - " EDD -  </v>
      </c>
      <c r="B169" s="17"/>
      <c r="C169" s="15" t="s">
        <v>55</v>
      </c>
      <c r="D169" s="17"/>
      <c r="E169" s="15" t="s">
        <v>54</v>
      </c>
      <c r="F169" s="25" t="s">
        <v>16</v>
      </c>
    </row>
    <row r="170">
      <c r="A170" s="15" t="str">
        <f t="shared" si="4"/>
        <v xml:space="preserve">21 Aug: VSR - " EDD -  </v>
      </c>
      <c r="B170" s="17"/>
      <c r="C170" s="15" t="s">
        <v>55</v>
      </c>
      <c r="D170" s="17"/>
      <c r="E170" s="15" t="s">
        <v>54</v>
      </c>
      <c r="F170" s="25" t="s">
        <v>16</v>
      </c>
    </row>
    <row r="171">
      <c r="A171" s="15" t="str">
        <f t="shared" si="4"/>
        <v xml:space="preserve">21 Aug: VSR - " EDD -  </v>
      </c>
      <c r="B171" s="17"/>
      <c r="C171" s="15" t="s">
        <v>55</v>
      </c>
      <c r="D171" s="17"/>
      <c r="E171" s="15" t="s">
        <v>54</v>
      </c>
      <c r="F171" s="25" t="s">
        <v>16</v>
      </c>
    </row>
    <row r="172">
      <c r="A172" s="15" t="str">
        <f t="shared" si="4"/>
        <v xml:space="preserve">21 Aug: VSR - " EDD -  </v>
      </c>
      <c r="B172" s="17"/>
      <c r="C172" s="15" t="s">
        <v>55</v>
      </c>
      <c r="D172" s="17"/>
      <c r="E172" s="15" t="s">
        <v>54</v>
      </c>
      <c r="F172" s="25" t="s">
        <v>16</v>
      </c>
    </row>
    <row r="173">
      <c r="A173" s="15" t="str">
        <f t="shared" si="4"/>
        <v xml:space="preserve">21 Aug: VSR - " EDD -  </v>
      </c>
      <c r="B173" s="17"/>
      <c r="C173" s="15" t="s">
        <v>55</v>
      </c>
      <c r="D173" s="17"/>
      <c r="E173" s="15" t="s">
        <v>54</v>
      </c>
      <c r="F173" s="25" t="s">
        <v>16</v>
      </c>
    </row>
    <row r="174">
      <c r="A174" s="15" t="str">
        <f t="shared" si="4"/>
        <v xml:space="preserve">21 Aug: VSR - " </v>
      </c>
      <c r="B174" s="17"/>
      <c r="C174" s="15" t="s">
        <v>55</v>
      </c>
      <c r="D174" s="17"/>
      <c r="E174" s="15"/>
      <c r="F174" s="25" t="s">
        <v>16</v>
      </c>
    </row>
    <row r="175">
      <c r="A175" s="15" t="str">
        <f t="shared" si="4"/>
        <v xml:space="preserve">21 Aug: VSR - " </v>
      </c>
      <c r="B175" s="17"/>
      <c r="C175" s="15" t="s">
        <v>55</v>
      </c>
      <c r="D175" s="17"/>
      <c r="E175" s="15"/>
      <c r="F175" s="25" t="s">
        <v>16</v>
      </c>
    </row>
    <row r="176">
      <c r="A176" s="15" t="str">
        <f t="shared" si="4"/>
        <v xml:space="preserve">21 Aug: VSR - " </v>
      </c>
      <c r="B176" s="17"/>
      <c r="C176" s="15" t="s">
        <v>55</v>
      </c>
      <c r="D176" s="17"/>
      <c r="E176" s="15"/>
      <c r="F176" s="25" t="s">
        <v>16</v>
      </c>
    </row>
    <row r="177">
      <c r="A177" s="15" t="str">
        <f t="shared" si="4"/>
        <v xml:space="preserve">21 Aug: VSR - " </v>
      </c>
      <c r="B177" s="17"/>
      <c r="C177" s="15" t="s">
        <v>55</v>
      </c>
      <c r="D177" s="17"/>
      <c r="E177" s="15"/>
      <c r="F177" s="25" t="s">
        <v>16</v>
      </c>
    </row>
    <row r="178">
      <c r="A178" s="15" t="str">
        <f t="shared" si="4"/>
        <v xml:space="preserve">21 Aug: VSR - " </v>
      </c>
      <c r="B178" s="17"/>
      <c r="C178" s="15" t="s">
        <v>55</v>
      </c>
      <c r="D178" s="17"/>
      <c r="E178" s="15"/>
      <c r="F178" s="25" t="s">
        <v>16</v>
      </c>
    </row>
    <row r="179">
      <c r="A179" s="15" t="str">
        <f t="shared" si="4"/>
        <v xml:space="preserve">21 Aug: VSR - " </v>
      </c>
      <c r="B179" s="17"/>
      <c r="C179" s="15" t="s">
        <v>55</v>
      </c>
      <c r="D179" s="17"/>
      <c r="E179" s="15"/>
      <c r="F179" s="25" t="s">
        <v>16</v>
      </c>
    </row>
    <row r="180">
      <c r="A180" s="15" t="str">
        <f t="shared" si="4"/>
        <v xml:space="preserve">21 Aug: VSR - " </v>
      </c>
      <c r="B180" s="17"/>
      <c r="C180" s="15" t="s">
        <v>55</v>
      </c>
      <c r="D180" s="17"/>
      <c r="E180" s="15"/>
      <c r="F180" s="25" t="s">
        <v>16</v>
      </c>
    </row>
    <row r="181">
      <c r="A181" s="15" t="str">
        <f t="shared" si="4"/>
        <v xml:space="preserve">21 Aug: VSR - " </v>
      </c>
      <c r="B181" s="17"/>
      <c r="C181" s="15" t="s">
        <v>55</v>
      </c>
      <c r="D181" s="17"/>
      <c r="E181" s="15"/>
      <c r="F181" s="25" t="s">
        <v>16</v>
      </c>
    </row>
    <row r="182">
      <c r="A182" s="15" t="str">
        <f t="shared" si="4"/>
        <v xml:space="preserve">21 Aug: VSR - " </v>
      </c>
      <c r="B182" s="17"/>
      <c r="C182" s="15" t="s">
        <v>55</v>
      </c>
      <c r="D182" s="17"/>
      <c r="E182" s="15"/>
      <c r="F182" s="25" t="s">
        <v>16</v>
      </c>
    </row>
    <row r="183">
      <c r="A183" s="15" t="str">
        <f t="shared" si="4"/>
        <v xml:space="preserve">21 Aug: VSR - " </v>
      </c>
      <c r="B183" s="17"/>
      <c r="C183" s="15" t="s">
        <v>55</v>
      </c>
      <c r="D183" s="17"/>
      <c r="E183" s="15"/>
      <c r="F183" s="25" t="s">
        <v>16</v>
      </c>
    </row>
    <row r="184">
      <c r="A184" s="15" t="str">
        <f t="shared" si="4"/>
        <v xml:space="preserve">21 Aug: VSR - " </v>
      </c>
      <c r="B184" s="17"/>
      <c r="C184" s="15" t="s">
        <v>55</v>
      </c>
      <c r="D184" s="17"/>
      <c r="E184" s="15"/>
      <c r="F184" s="25" t="s">
        <v>16</v>
      </c>
    </row>
    <row r="185">
      <c r="A185" s="15" t="str">
        <f t="shared" si="4"/>
        <v xml:space="preserve">21 Aug: VSR - " </v>
      </c>
      <c r="B185" s="17"/>
      <c r="C185" s="15" t="s">
        <v>55</v>
      </c>
      <c r="D185" s="17"/>
      <c r="E185" s="15"/>
      <c r="F185" s="25" t="s">
        <v>16</v>
      </c>
    </row>
    <row r="186">
      <c r="A186" s="15" t="str">
        <f t="shared" si="4"/>
        <v xml:space="preserve">21 Aug: VSR - " </v>
      </c>
      <c r="B186" s="17"/>
      <c r="C186" s="15" t="s">
        <v>55</v>
      </c>
      <c r="D186" s="17"/>
      <c r="E186" s="15"/>
      <c r="F186" s="25" t="s">
        <v>16</v>
      </c>
    </row>
    <row r="187">
      <c r="A187" s="15" t="str">
        <f t="shared" si="4"/>
        <v xml:space="preserve">21 Aug: VSR - " </v>
      </c>
      <c r="B187" s="17"/>
      <c r="C187" s="15" t="s">
        <v>55</v>
      </c>
      <c r="D187" s="17"/>
      <c r="E187" s="15"/>
      <c r="F187" s="25" t="s">
        <v>16</v>
      </c>
    </row>
    <row r="188">
      <c r="A188" s="15" t="str">
        <f t="shared" si="4"/>
        <v xml:space="preserve">21 Aug: VSR - " </v>
      </c>
      <c r="B188" s="17"/>
      <c r="C188" s="15" t="s">
        <v>55</v>
      </c>
      <c r="D188" s="17"/>
      <c r="E188" s="15"/>
      <c r="F188" s="25" t="s">
        <v>16</v>
      </c>
    </row>
    <row r="189">
      <c r="A189" s="15" t="str">
        <f t="shared" si="4"/>
        <v xml:space="preserve">21 Aug: VSR - " </v>
      </c>
      <c r="B189" s="17"/>
      <c r="C189" s="15" t="s">
        <v>55</v>
      </c>
      <c r="D189" s="17"/>
      <c r="E189" s="15"/>
      <c r="F189" s="25" t="s">
        <v>16</v>
      </c>
    </row>
    <row r="190">
      <c r="A190" s="15" t="str">
        <f t="shared" si="4"/>
        <v xml:space="preserve">21 Aug: VSR - " </v>
      </c>
      <c r="B190" s="17"/>
      <c r="C190" s="15" t="s">
        <v>55</v>
      </c>
      <c r="D190" s="17"/>
      <c r="E190" s="15"/>
      <c r="F190" s="25" t="s">
        <v>16</v>
      </c>
    </row>
    <row r="191">
      <c r="A191" s="15" t="str">
        <f t="shared" si="4"/>
        <v xml:space="preserve">21 Aug: VSR - " </v>
      </c>
      <c r="B191" s="17"/>
      <c r="C191" s="15" t="s">
        <v>55</v>
      </c>
      <c r="D191" s="17"/>
      <c r="E191" s="15"/>
      <c r="F191" s="25" t="s">
        <v>16</v>
      </c>
    </row>
    <row r="192">
      <c r="A192" s="15" t="str">
        <f t="shared" si="4"/>
        <v xml:space="preserve">21 Aug: VSR - " </v>
      </c>
      <c r="B192" s="17"/>
      <c r="C192" s="15" t="s">
        <v>55</v>
      </c>
      <c r="D192" s="17"/>
      <c r="E192" s="15"/>
      <c r="F192" s="25" t="s">
        <v>16</v>
      </c>
    </row>
    <row r="193">
      <c r="A193" s="15" t="str">
        <f t="shared" si="4"/>
        <v xml:space="preserve">21 Aug: VSR - " </v>
      </c>
      <c r="B193" s="17"/>
      <c r="C193" s="15" t="s">
        <v>55</v>
      </c>
      <c r="D193" s="17"/>
      <c r="E193" s="15"/>
      <c r="F193" s="25" t="s">
        <v>16</v>
      </c>
    </row>
    <row r="194">
      <c r="A194" s="15" t="str">
        <f t="shared" ref="A194:A196" si="5">_xlfn.TEXTJOIN("",1,C194:E194,TEXT(F194,"dd/mm/yyyy"),G194)</f>
        <v xml:space="preserve">21 Aug: VSR - " </v>
      </c>
      <c r="B194" s="17"/>
      <c r="C194" s="15" t="s">
        <v>55</v>
      </c>
      <c r="D194" s="17"/>
      <c r="E194" s="15"/>
      <c r="F194" s="25" t="s">
        <v>16</v>
      </c>
    </row>
    <row r="195">
      <c r="A195" s="15" t="str">
        <f t="shared" si="5"/>
        <v xml:space="preserve">21 Aug: VSR - " </v>
      </c>
      <c r="B195" s="17"/>
      <c r="C195" s="15" t="s">
        <v>55</v>
      </c>
      <c r="D195" s="17"/>
      <c r="E195" s="15"/>
      <c r="F195" s="25" t="s">
        <v>16</v>
      </c>
    </row>
    <row r="196">
      <c r="A196" s="15" t="str">
        <f t="shared" si="5"/>
        <v xml:space="preserve">21 Aug: VSR - "02. Inspection in progress </v>
      </c>
      <c r="B196" s="17"/>
      <c r="C196" s="15" t="s">
        <v>55</v>
      </c>
      <c r="D196" s="17" t="s">
        <v>41</v>
      </c>
      <c r="E196" s="15"/>
      <c r="F196" s="25" t="s">
        <v>16</v>
      </c>
    </row>
  </sheetData>
  <autoFilter ref="A1:H44">
    <sortState ref="A2:H196">
      <sortCondition ref="B1:B44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O1" activeCellId="0" sqref="O1:R9"/>
    </sheetView>
  </sheetViews>
  <sheetFormatPr defaultRowHeight="14.5"/>
  <sheetData>
    <row r="1" ht="15">
      <c r="A1" s="26" t="s">
        <v>56</v>
      </c>
      <c r="B1" s="27" t="s">
        <v>57</v>
      </c>
    </row>
    <row r="2" ht="29.5">
      <c r="A2" s="28">
        <v>1</v>
      </c>
      <c r="B2" s="29" t="s">
        <v>58</v>
      </c>
      <c r="C2" s="30" t="s">
        <v>59</v>
      </c>
      <c r="E2" s="26" t="s">
        <v>56</v>
      </c>
      <c r="F2" s="27" t="s">
        <v>57</v>
      </c>
      <c r="G2" s="27" t="s">
        <v>60</v>
      </c>
      <c r="H2" s="27" t="s">
        <v>61</v>
      </c>
      <c r="J2" s="26" t="s">
        <v>56</v>
      </c>
      <c r="K2" s="27" t="s">
        <v>57</v>
      </c>
      <c r="L2" s="27" t="s">
        <v>60</v>
      </c>
      <c r="M2" s="27" t="s">
        <v>61</v>
      </c>
      <c r="O2" s="26" t="s">
        <v>56</v>
      </c>
      <c r="P2" s="27" t="s">
        <v>57</v>
      </c>
      <c r="Q2" s="27" t="s">
        <v>60</v>
      </c>
    </row>
    <row r="3" ht="29.5">
      <c r="A3" s="28">
        <v>2</v>
      </c>
      <c r="B3" s="29" t="s">
        <v>62</v>
      </c>
      <c r="C3" s="30" t="s">
        <v>59</v>
      </c>
      <c r="E3" s="28">
        <v>1</v>
      </c>
      <c r="F3" s="29" t="s">
        <v>63</v>
      </c>
      <c r="G3" s="31">
        <v>54487</v>
      </c>
      <c r="H3" s="29" t="s">
        <v>64</v>
      </c>
      <c r="I3" s="30" t="s">
        <v>65</v>
      </c>
      <c r="J3" s="28">
        <v>1</v>
      </c>
      <c r="K3" s="29" t="s">
        <v>66</v>
      </c>
      <c r="L3" s="31">
        <v>54796</v>
      </c>
      <c r="M3" s="32" t="s">
        <v>67</v>
      </c>
      <c r="N3" s="30" t="s">
        <v>68</v>
      </c>
      <c r="O3" s="28">
        <v>1</v>
      </c>
      <c r="P3" s="29" t="s">
        <v>69</v>
      </c>
      <c r="Q3" s="31">
        <v>54876</v>
      </c>
      <c r="R3" s="30" t="s">
        <v>70</v>
      </c>
    </row>
    <row r="4" ht="29.5">
      <c r="A4" s="28">
        <v>3</v>
      </c>
      <c r="B4" s="29" t="s">
        <v>71</v>
      </c>
      <c r="C4" s="30" t="s">
        <v>59</v>
      </c>
      <c r="E4" s="28">
        <v>2</v>
      </c>
      <c r="F4" s="29" t="s">
        <v>72</v>
      </c>
      <c r="G4" s="31">
        <v>54488</v>
      </c>
      <c r="H4" s="29" t="s">
        <v>64</v>
      </c>
      <c r="I4" s="30" t="s">
        <v>65</v>
      </c>
      <c r="J4" s="28">
        <v>2</v>
      </c>
      <c r="K4" s="29" t="s">
        <v>73</v>
      </c>
      <c r="L4" s="31">
        <v>54531</v>
      </c>
      <c r="M4" s="32" t="s">
        <v>74</v>
      </c>
      <c r="N4" s="33" t="s">
        <v>75</v>
      </c>
      <c r="O4" s="28">
        <v>2</v>
      </c>
      <c r="P4" s="29" t="s">
        <v>76</v>
      </c>
      <c r="Q4" s="31">
        <v>54877</v>
      </c>
      <c r="R4" s="30" t="s">
        <v>77</v>
      </c>
    </row>
    <row r="5" ht="29.5">
      <c r="A5" s="28">
        <v>4</v>
      </c>
      <c r="B5" s="29" t="s">
        <v>78</v>
      </c>
      <c r="C5" s="30" t="s">
        <v>79</v>
      </c>
      <c r="E5" s="28">
        <v>3</v>
      </c>
      <c r="F5" s="29" t="s">
        <v>80</v>
      </c>
      <c r="G5" s="31">
        <v>54489</v>
      </c>
      <c r="H5" s="29" t="s">
        <v>81</v>
      </c>
      <c r="I5" s="30" t="s">
        <v>82</v>
      </c>
      <c r="J5" s="28">
        <v>3</v>
      </c>
      <c r="K5" s="29" t="s">
        <v>83</v>
      </c>
      <c r="L5" s="31">
        <v>54532</v>
      </c>
      <c r="M5" s="32" t="s">
        <v>74</v>
      </c>
      <c r="N5" s="33" t="s">
        <v>75</v>
      </c>
      <c r="O5" s="28">
        <v>3</v>
      </c>
      <c r="P5" s="29" t="s">
        <v>84</v>
      </c>
      <c r="Q5" s="31">
        <v>54881</v>
      </c>
      <c r="R5" s="30" t="s">
        <v>59</v>
      </c>
    </row>
    <row r="6" ht="44">
      <c r="A6" s="28">
        <v>5</v>
      </c>
      <c r="B6" s="29" t="s">
        <v>85</v>
      </c>
      <c r="C6" s="30" t="s">
        <v>79</v>
      </c>
      <c r="E6" s="28">
        <v>4</v>
      </c>
      <c r="F6" s="29" t="s">
        <v>86</v>
      </c>
      <c r="G6" s="31">
        <v>54491</v>
      </c>
      <c r="H6" s="29" t="s">
        <v>87</v>
      </c>
      <c r="I6" s="30" t="s">
        <v>65</v>
      </c>
      <c r="O6" s="28">
        <v>4</v>
      </c>
      <c r="P6" s="29" t="s">
        <v>88</v>
      </c>
      <c r="Q6" s="31">
        <v>54886</v>
      </c>
      <c r="R6" s="30" t="s">
        <v>59</v>
      </c>
    </row>
    <row r="7" ht="29.5">
      <c r="A7" s="28">
        <v>6</v>
      </c>
      <c r="B7" s="29" t="s">
        <v>89</v>
      </c>
      <c r="C7" s="34" t="s">
        <v>90</v>
      </c>
      <c r="E7" s="28">
        <v>5</v>
      </c>
      <c r="F7" s="29" t="s">
        <v>91</v>
      </c>
      <c r="G7" s="31">
        <v>54492</v>
      </c>
      <c r="H7" s="29" t="s">
        <v>92</v>
      </c>
      <c r="I7" s="30" t="s">
        <v>93</v>
      </c>
      <c r="O7" s="28">
        <v>5</v>
      </c>
      <c r="P7" s="29" t="s">
        <v>94</v>
      </c>
      <c r="Q7" s="31">
        <v>55356</v>
      </c>
      <c r="R7" s="30" t="s">
        <v>93</v>
      </c>
    </row>
    <row r="8" ht="29.5">
      <c r="A8" s="28">
        <v>7</v>
      </c>
      <c r="B8" s="29" t="s">
        <v>95</v>
      </c>
      <c r="C8" s="34" t="s">
        <v>90</v>
      </c>
      <c r="E8" s="28">
        <v>6</v>
      </c>
      <c r="F8" s="29" t="s">
        <v>96</v>
      </c>
      <c r="G8" s="31">
        <v>54315</v>
      </c>
      <c r="H8" s="29" t="s">
        <v>97</v>
      </c>
      <c r="I8" s="30" t="s">
        <v>98</v>
      </c>
      <c r="O8" s="28">
        <v>6</v>
      </c>
      <c r="P8" s="29" t="s">
        <v>99</v>
      </c>
      <c r="Q8" s="31">
        <v>54940</v>
      </c>
      <c r="R8" s="30" t="s">
        <v>93</v>
      </c>
    </row>
    <row r="9" ht="29.5">
      <c r="A9" s="28">
        <v>8</v>
      </c>
      <c r="B9" s="29" t="s">
        <v>100</v>
      </c>
      <c r="C9" s="34" t="s">
        <v>101</v>
      </c>
      <c r="E9" s="28">
        <v>7</v>
      </c>
      <c r="F9" s="29" t="s">
        <v>102</v>
      </c>
      <c r="G9" s="31">
        <v>54494</v>
      </c>
      <c r="H9" s="29" t="s">
        <v>103</v>
      </c>
      <c r="I9" s="30" t="s">
        <v>70</v>
      </c>
      <c r="O9" s="28">
        <v>7</v>
      </c>
      <c r="P9" s="29" t="s">
        <v>104</v>
      </c>
      <c r="Q9" s="31">
        <v>55357</v>
      </c>
      <c r="R9" s="30" t="s">
        <v>93</v>
      </c>
    </row>
    <row r="10" ht="29.5">
      <c r="A10" s="28">
        <v>9</v>
      </c>
      <c r="B10" s="29" t="s">
        <v>105</v>
      </c>
      <c r="C10" s="34" t="s">
        <v>101</v>
      </c>
    </row>
    <row r="11" ht="29.5">
      <c r="A11" s="28">
        <v>10</v>
      </c>
      <c r="B11" s="29" t="s">
        <v>106</v>
      </c>
      <c r="C11" s="34" t="s">
        <v>101</v>
      </c>
    </row>
    <row r="12" ht="29.5">
      <c r="A12" s="28">
        <v>11</v>
      </c>
      <c r="B12" s="29" t="s">
        <v>107</v>
      </c>
      <c r="C12" s="34" t="s">
        <v>101</v>
      </c>
    </row>
    <row r="13" ht="29.5">
      <c r="A13" s="28">
        <v>12</v>
      </c>
      <c r="B13" s="29" t="s">
        <v>108</v>
      </c>
      <c r="C13" s="30" t="s">
        <v>79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" zoomScale="100" workbookViewId="0">
      <selection activeCell="B20" activeCellId="0" sqref="B20"/>
    </sheetView>
  </sheetViews>
  <sheetFormatPr defaultRowHeight="14.25"/>
  <cols>
    <col bestFit="1" customWidth="1" min="1" max="1" width="30.08984375"/>
    <col bestFit="1" customWidth="1" min="2" max="2" width="86.90625"/>
    <col bestFit="1" customWidth="1" min="3" max="3" width="37.6328125"/>
  </cols>
  <sheetData>
    <row r="1">
      <c r="A1" s="35" t="s">
        <v>109</v>
      </c>
      <c r="B1" s="35"/>
    </row>
    <row r="2">
      <c r="A2" s="35"/>
      <c r="B2" s="35"/>
    </row>
    <row r="3">
      <c r="A3" s="35"/>
      <c r="B3" s="35"/>
    </row>
    <row r="4" ht="29">
      <c r="A4" s="35" t="s">
        <v>110</v>
      </c>
      <c r="B4" s="35"/>
      <c r="C4" t="s">
        <v>111</v>
      </c>
    </row>
    <row r="5">
      <c r="A5" s="35"/>
      <c r="B5" s="35"/>
    </row>
    <row r="6">
      <c r="A6" s="35"/>
      <c r="B6" s="35"/>
    </row>
    <row r="7">
      <c r="A7" s="35"/>
      <c r="B7" s="35"/>
    </row>
    <row r="8">
      <c r="A8" s="35"/>
      <c r="B8" s="35"/>
    </row>
    <row r="9">
      <c r="A9" s="36"/>
      <c r="B9" s="37" t="s">
        <v>112</v>
      </c>
      <c r="C9" s="36"/>
      <c r="D9" s="36"/>
      <c r="E9" s="36"/>
      <c r="F9" s="36"/>
    </row>
    <row r="10">
      <c r="A10" s="38" t="s">
        <v>113</v>
      </c>
      <c r="B10" s="37" t="s">
        <v>114</v>
      </c>
      <c r="C10" s="36"/>
      <c r="D10" s="36"/>
      <c r="E10" s="36"/>
      <c r="F10" s="36"/>
    </row>
    <row r="11">
      <c r="A11" s="38" t="s">
        <v>115</v>
      </c>
      <c r="B11" s="37" t="s">
        <v>116</v>
      </c>
      <c r="C11" s="36" t="s">
        <v>117</v>
      </c>
      <c r="D11" s="39" t="s">
        <v>118</v>
      </c>
      <c r="E11" s="36"/>
      <c r="F11" s="36"/>
    </row>
    <row r="12">
      <c r="A12" s="38"/>
      <c r="B12" s="36"/>
      <c r="C12" s="36"/>
      <c r="D12" s="36"/>
      <c r="E12" s="36"/>
      <c r="F12" s="36"/>
    </row>
    <row r="13">
      <c r="A13" s="40"/>
      <c r="B13" s="41"/>
      <c r="C13" s="36"/>
      <c r="D13" s="36"/>
      <c r="E13" s="36"/>
      <c r="F13" s="36"/>
    </row>
    <row r="14" ht="42.75">
      <c r="A14" s="42" t="s">
        <v>119</v>
      </c>
      <c r="B14" s="36"/>
      <c r="C14" s="36"/>
      <c r="D14" s="36" t="s">
        <v>120</v>
      </c>
      <c r="E14" s="36"/>
      <c r="F14" s="36"/>
    </row>
    <row r="16">
      <c r="A16" s="43" t="s">
        <v>121</v>
      </c>
      <c r="B16" s="44" t="s">
        <v>122</v>
      </c>
    </row>
    <row r="17">
      <c r="A17" s="34" t="s">
        <v>123</v>
      </c>
      <c r="B17" t="s">
        <v>124</v>
      </c>
    </row>
    <row r="18">
      <c r="A18" s="34" t="s">
        <v>125</v>
      </c>
      <c r="B18" t="s">
        <v>126</v>
      </c>
    </row>
    <row r="19">
      <c r="A19" t="s">
        <v>127</v>
      </c>
      <c r="B19" t="s">
        <v>128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ad1e7a-d081-4b7d-92a0-bfc145d7dd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3122745C2FCC40852A172DEE6751F1" ma:contentTypeVersion="10" ma:contentTypeDescription="Create a new document." ma:contentTypeScope="" ma:versionID="fd3546b99b10ece4589653348279677c">
  <xsd:schema xmlns:xsd="http://www.w3.org/2001/XMLSchema" xmlns:xs="http://www.w3.org/2001/XMLSchema" xmlns:p="http://schemas.microsoft.com/office/2006/metadata/properties" xmlns:ns3="fbad1e7a-d081-4b7d-92a0-bfc145d7ddad" targetNamespace="http://schemas.microsoft.com/office/2006/metadata/properties" ma:root="true" ma:fieldsID="18e76ec242f0a58a480dee05bc046b3c" ns3:_="">
    <xsd:import namespace="fbad1e7a-d081-4b7d-92a0-bfc145d7dd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d1e7a-d081-4b7d-92a0-bfc145d7dda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33041DE9-55B1-4B55-ACBA-EDE019DA06B1">
  <ds:schemaRefs>
    <ds:schemaRef ds:uri="http://purl.org/dc/terms/"/>
    <ds:schemaRef ds:uri="http://schemas.microsoft.com/office/2006/documentManagement/types"/>
    <ds:schemaRef ds:uri="fbad1e7a-d081-4b7d-92a0-bfc145d7ddad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822ACE99-BE34-42AD-9CEE-CBA83AE76883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7CC25C15-7557-4633-AD2F-1C396E400794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ad1e7a-d081-4b7d-92a0-bfc145d7dd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Zhi Yuan Aaron</dc:creator>
  <cp:revision>1</cp:revision>
  <dcterms:created xsi:type="dcterms:W3CDTF">2022-06-28T06:05:47Z</dcterms:created>
  <dcterms:modified xsi:type="dcterms:W3CDTF">2026-04-20T09:40:34Z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2022-07-04T06:54:31Z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0dd007dc-63cb-4f8f-97dd-14704e87a85d</vt:lpwstr>
  </property>
  <property fmtid="{D5CDD505-2E9C-101B-9397-08002B2CF9AE}" pid="8" name="MSIP_Label_a043ec3a-92eb-434b-bfcd-dd5fcd578c71_ContentBits">
    <vt:lpwstr>0</vt:lpwstr>
  </property>
  <property fmtid="{D5CDD505-2E9C-101B-9397-08002B2CF9AE}" pid="9" name="ContentTypeId">
    <vt:lpwstr>0x010100B33122745C2FCC40852A172DEE6751F1</vt:lpwstr>
  </property>
</Properties>
</file>